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" sheetId="1" r:id="rId4"/>
    <sheet state="visible" name="tab2box" sheetId="2" r:id="rId5"/>
    <sheet state="visible" name="box" sheetId="3" r:id="rId6"/>
    <sheet state="visible" name="box2metadata" sheetId="4" r:id="rId7"/>
    <sheet state="visible" name="metadatagroups" sheetId="5" r:id="rId8"/>
    <sheet state="visible" name="box2metrics" sheetId="6" r:id="rId9"/>
    <sheet state="visible" name="tabpolicy" sheetId="7" r:id="rId10"/>
    <sheet state="visible" name="boxpolicy" sheetId="8" r:id="rId11"/>
    <sheet state="visible" name="utilsdata" sheetId="9" r:id="rId12"/>
    <sheet state="visible" name="tab_i18n" sheetId="10" r:id="rId13"/>
    <sheet state="visible" name="box_i18n" sheetId="11" r:id="rId14"/>
    <sheet state="visible" name="metadata_i18n" sheetId="12" r:id="rId15"/>
    <sheet state="visible" name="metadatagroup_i18n" sheetId="13" r:id="rId16"/>
  </sheets>
  <definedNames>
    <definedName localSheetId="3" name="Excel_BuiltIn__FilterDatabase">box2metadata!$A$1:$P$104</definedName>
    <definedName hidden="1" localSheetId="3" name="_xlnm._FilterDatabase">box2metadata!$A$1:$P$151</definedName>
  </definedNames>
  <calcPr/>
  <extLst>
    <ext uri="GoogleSheetsCustomDataVersion2">
      <go:sheetsCustomData xmlns:go="http://customooxmlschemas.google.com/" r:id="rId17" roundtripDataChecksum="krLWYaY0u65mwrqAjIc01/a69v7enh89JS/S3dMHs3k="/>
    </ext>
  </extLst>
</workbook>
</file>

<file path=xl/sharedStrings.xml><?xml version="1.0" encoding="utf-8"?>
<sst xmlns="http://schemas.openxmlformats.org/spreadsheetml/2006/main" count="2550" uniqueCount="388">
  <si>
    <t>ENTITY</t>
  </si>
  <si>
    <t>SHORTNAME</t>
  </si>
  <si>
    <t>LABEL</t>
  </si>
  <si>
    <t>PRIORITY</t>
  </si>
  <si>
    <t>LEADING</t>
  </si>
  <si>
    <t>SECURITY</t>
  </si>
  <si>
    <t>Person</t>
  </si>
  <si>
    <t>details</t>
  </si>
  <si>
    <t>Profile</t>
  </si>
  <si>
    <t>0</t>
  </si>
  <si>
    <t>y</t>
  </si>
  <si>
    <t>PUBLIC</t>
  </si>
  <si>
    <t>publications</t>
  </si>
  <si>
    <t>Publications</t>
  </si>
  <si>
    <t>n</t>
  </si>
  <si>
    <t>projects</t>
  </si>
  <si>
    <t>Projects</t>
  </si>
  <si>
    <t>collaboration</t>
  </si>
  <si>
    <t>Collaborations</t>
  </si>
  <si>
    <t>otherinfo</t>
  </si>
  <si>
    <t>Other</t>
  </si>
  <si>
    <t>indicators</t>
  </si>
  <si>
    <t>Metrics</t>
  </si>
  <si>
    <t>6</t>
  </si>
  <si>
    <t>secure</t>
  </si>
  <si>
    <t>Secured Tab</t>
  </si>
  <si>
    <t>CUSTOM DATA</t>
  </si>
  <si>
    <t>OrgUnit</t>
  </si>
  <si>
    <t>maininformation</t>
  </si>
  <si>
    <t>Information</t>
  </si>
  <si>
    <t>organizations</t>
  </si>
  <si>
    <t>Organizations</t>
  </si>
  <si>
    <t>rppublications</t>
  </si>
  <si>
    <t>Researchers publications</t>
  </si>
  <si>
    <t>rpprojects</t>
  </si>
  <si>
    <t>Researchers projects</t>
  </si>
  <si>
    <t>people</t>
  </si>
  <si>
    <t>People</t>
  </si>
  <si>
    <t>thesis</t>
  </si>
  <si>
    <t>Thesis</t>
  </si>
  <si>
    <t>12</t>
  </si>
  <si>
    <t>Project</t>
  </si>
  <si>
    <t>Details</t>
  </si>
  <si>
    <t>outputs::projectoutputs</t>
  </si>
  <si>
    <t>Outputs::Publications</t>
  </si>
  <si>
    <t>outputs::fundings</t>
  </si>
  <si>
    <t>Outputs::Fundings</t>
  </si>
  <si>
    <t>10</t>
  </si>
  <si>
    <t>Journal</t>
  </si>
  <si>
    <t>Event</t>
  </si>
  <si>
    <t>Equipment</t>
  </si>
  <si>
    <t>Funding</t>
  </si>
  <si>
    <t>Publication</t>
  </si>
  <si>
    <t>Product</t>
  </si>
  <si>
    <t>Patent</t>
  </si>
  <si>
    <t>TAB</t>
  </si>
  <si>
    <t>ROW</t>
  </si>
  <si>
    <t>ROW_STYLE</t>
  </si>
  <si>
    <t>CELL_STYLE</t>
  </si>
  <si>
    <t>BOXES</t>
  </si>
  <si>
    <t>heading</t>
  </si>
  <si>
    <t xml:space="preserve">details </t>
  </si>
  <si>
    <t>colaborations</t>
  </si>
  <si>
    <t>mb-3</t>
  </si>
  <si>
    <t>primarydata</t>
  </si>
  <si>
    <t>funding</t>
  </si>
  <si>
    <t>researchers</t>
  </si>
  <si>
    <t>categorization</t>
  </si>
  <si>
    <t>researchoutputs</t>
  </si>
  <si>
    <t>fundings</t>
  </si>
  <si>
    <t>financialdata</t>
  </si>
  <si>
    <t>my-4</t>
  </si>
  <si>
    <t>metrics</t>
  </si>
  <si>
    <t>namecard</t>
  </si>
  <si>
    <t>usagemetrics</t>
  </si>
  <si>
    <t>researcherprofile</t>
  </si>
  <si>
    <t>media</t>
  </si>
  <si>
    <t>qualifications</t>
  </si>
  <si>
    <t>abstract</t>
  </si>
  <si>
    <t>keywords</t>
  </si>
  <si>
    <t>research</t>
  </si>
  <si>
    <t>authors</t>
  </si>
  <si>
    <t xml:space="preserve">altmetrics </t>
  </si>
  <si>
    <t>versioning</t>
  </si>
  <si>
    <t xml:space="preserve">metrics,usagemetrics  </t>
  </si>
  <si>
    <t>altmetrics</t>
  </si>
  <si>
    <t>mt-5</t>
  </si>
  <si>
    <t>COLLAPSED</t>
  </si>
  <si>
    <t>TYPE</t>
  </si>
  <si>
    <t>CONTAINER</t>
  </si>
  <si>
    <t>MINOR</t>
  </si>
  <si>
    <t>STYLE</t>
  </si>
  <si>
    <t>RELATION</t>
  </si>
  <si>
    <t>Professional Qualifications</t>
  </si>
  <si>
    <t>Media Contact Directory</t>
  </si>
  <si>
    <t>Name Card</t>
  </si>
  <si>
    <t>METRICS</t>
  </si>
  <si>
    <t>Usage Metrics</t>
  </si>
  <si>
    <t>Secured box</t>
  </si>
  <si>
    <t>COLLABORATION</t>
  </si>
  <si>
    <t>Collabs</t>
  </si>
  <si>
    <t>OrgUnit's Researchers projects</t>
  </si>
  <si>
    <t>OrgUnit's Researchers publications</t>
  </si>
  <si>
    <t>OrgUnit's Researchers</t>
  </si>
  <si>
    <t>OrgUnit funded Projects</t>
  </si>
  <si>
    <t>OrgUnit Student thesis</t>
  </si>
  <si>
    <t>description</t>
  </si>
  <si>
    <t>Description</t>
  </si>
  <si>
    <t>SubOrgUnits</t>
  </si>
  <si>
    <t>orgcard</t>
  </si>
  <si>
    <t>Card</t>
  </si>
  <si>
    <t>Fundings</t>
  </si>
  <si>
    <t>Primary Data</t>
  </si>
  <si>
    <t>Researchers</t>
  </si>
  <si>
    <t>Categorization</t>
  </si>
  <si>
    <t>projectcard</t>
  </si>
  <si>
    <t>Project Card</t>
  </si>
  <si>
    <t>Financial Data</t>
  </si>
  <si>
    <t>Journal description</t>
  </si>
  <si>
    <t>Equipment description</t>
  </si>
  <si>
    <t>Alternative Metrics</t>
  </si>
  <si>
    <t>VERSIONING</t>
  </si>
  <si>
    <t>Abstract</t>
  </si>
  <si>
    <t>Keywords</t>
  </si>
  <si>
    <t>Research</t>
  </si>
  <si>
    <t>Author's Information</t>
  </si>
  <si>
    <t>Authors</t>
  </si>
  <si>
    <t>BOX</t>
  </si>
  <si>
    <t>CELL</t>
  </si>
  <si>
    <t>FIELDTYPE</t>
  </si>
  <si>
    <t>METADATA</t>
  </si>
  <si>
    <t>VALUE</t>
  </si>
  <si>
    <t>BUNDLE</t>
  </si>
  <si>
    <t>LABEL_AS_HEADING</t>
  </si>
  <si>
    <t>RENDERING</t>
  </si>
  <si>
    <t>VALUES_INLINE</t>
  </si>
  <si>
    <t>STYLE_LABEL</t>
  </si>
  <si>
    <t>STYLE_VALUE</t>
  </si>
  <si>
    <t>organization.address.addressCountry</t>
  </si>
  <si>
    <t>Country</t>
  </si>
  <si>
    <t>font-weight-bold col-3</t>
  </si>
  <si>
    <t>organization.address.addressLocality</t>
  </si>
  <si>
    <t>City</t>
  </si>
  <si>
    <t>dc.description.abstract</t>
  </si>
  <si>
    <t>longtext</t>
  </si>
  <si>
    <t>dc.title</t>
  </si>
  <si>
    <t>px-2</t>
  </si>
  <si>
    <t>oairecerif.acronym</t>
  </si>
  <si>
    <t>Acronym</t>
  </si>
  <si>
    <t>mb-2 col-12 col-md</t>
  </si>
  <si>
    <t>font-weight-bold col-12</t>
  </si>
  <si>
    <t>Locality</t>
  </si>
  <si>
    <t>oairecerif.identifier.url</t>
  </si>
  <si>
    <t>Web</t>
  </si>
  <si>
    <t>link</t>
  </si>
  <si>
    <t>antarc.institution.urlcris</t>
  </si>
  <si>
    <t>CRIS Web</t>
  </si>
  <si>
    <t>organization.foundingDate</t>
  </si>
  <si>
    <t>Founding Date</t>
  </si>
  <si>
    <t>date</t>
  </si>
  <si>
    <t>organization.identifier.ror</t>
  </si>
  <si>
    <t>ROR Identifier</t>
  </si>
  <si>
    <t>identifier.ror</t>
  </si>
  <si>
    <t>organization.identifier.isni</t>
  </si>
  <si>
    <t>ISNI Identifier</t>
  </si>
  <si>
    <t>organization.identifier.rin</t>
  </si>
  <si>
    <t>RingGold Identifier</t>
  </si>
  <si>
    <t>organization.identifier.crossrefid</t>
  </si>
  <si>
    <t>Crossref Identifier</t>
  </si>
  <si>
    <t>BITSTREAM</t>
  </si>
  <si>
    <t>dc.type</t>
  </si>
  <si>
    <t>logo</t>
  </si>
  <si>
    <t>ORIGINAL</t>
  </si>
  <si>
    <t>thumbnail</t>
  </si>
  <si>
    <t>col-3</t>
  </si>
  <si>
    <t>Organisation Name</t>
  </si>
  <si>
    <t>crisou.director</t>
  </si>
  <si>
    <t>Director</t>
  </si>
  <si>
    <t>crisref</t>
  </si>
  <si>
    <t>organization.parentOrganization</t>
  </si>
  <si>
    <t>Parent Organisation</t>
  </si>
  <si>
    <t>px-3</t>
  </si>
  <si>
    <t>INACH Code</t>
  </si>
  <si>
    <t>crispj.investigator</t>
  </si>
  <si>
    <t>Principal Research</t>
  </si>
  <si>
    <t>crispj.coordinator</t>
  </si>
  <si>
    <t>Principal Institution</t>
  </si>
  <si>
    <t>oairecerif.funder</t>
  </si>
  <si>
    <t>Funder Institution</t>
  </si>
  <si>
    <t>antarc.funder.ror</t>
  </si>
  <si>
    <t>Funder ROR</t>
  </si>
  <si>
    <t>antarc.project.anid</t>
  </si>
  <si>
    <t>ANID Code</t>
  </si>
  <si>
    <t>oairecerif.project.startDate</t>
  </si>
  <si>
    <t>Start Date</t>
  </si>
  <si>
    <t>oairecerif.project.endDate</t>
  </si>
  <si>
    <t>End Date</t>
  </si>
  <si>
    <t>oairecerif.amount</t>
  </si>
  <si>
    <t>Amount (CLP)</t>
  </si>
  <si>
    <t>crispj.coinvestigators</t>
  </si>
  <si>
    <t>crispj.organization</t>
  </si>
  <si>
    <t>antarc.area.ods</t>
  </si>
  <si>
    <t>Research ODS</t>
  </si>
  <si>
    <t>mb-2</t>
  </si>
  <si>
    <t>antarc.area.anid</t>
  </si>
  <si>
    <t>Research ANID</t>
  </si>
  <si>
    <t>antarc.area.inach</t>
  </si>
  <si>
    <t>Research INACH</t>
  </si>
  <si>
    <t>Project Title</t>
  </si>
  <si>
    <t>oairecerif.internalid</t>
  </si>
  <si>
    <t>Internal ID</t>
  </si>
  <si>
    <t>oairecerif.project.status</t>
  </si>
  <si>
    <t>Status</t>
  </si>
  <si>
    <t>dc.relation.project</t>
  </si>
  <si>
    <t>Type</t>
  </si>
  <si>
    <t>Funder</t>
  </si>
  <si>
    <t>oairecerif.fundingParent</t>
  </si>
  <si>
    <t>Funding Program</t>
  </si>
  <si>
    <t>Award URL</t>
  </si>
  <si>
    <t>oairecerif.oamandate</t>
  </si>
  <si>
    <t>OA Mandate</t>
  </si>
  <si>
    <t>Funding code</t>
  </si>
  <si>
    <t>Amount</t>
  </si>
  <si>
    <t>oairecerif.amount.currency</t>
  </si>
  <si>
    <t>Currency</t>
  </si>
  <si>
    <t>dc.subject</t>
  </si>
  <si>
    <t>Research Interests</t>
  </si>
  <si>
    <t>person.knowsLanguage</t>
  </si>
  <si>
    <t>Knows Language</t>
  </si>
  <si>
    <t>valuepair.common_iso_languages</t>
  </si>
  <si>
    <t>crisrp.qualification</t>
  </si>
  <si>
    <t>Qualification</t>
  </si>
  <si>
    <t>Preferred name</t>
  </si>
  <si>
    <t xml:space="preserve">px-2 </t>
  </si>
  <si>
    <t>crisrp.name</t>
  </si>
  <si>
    <t>Official Name</t>
  </si>
  <si>
    <t>crisrp.name.variant</t>
  </si>
  <si>
    <t>Alternative Name</t>
  </si>
  <si>
    <t>person.email</t>
  </si>
  <si>
    <t>Email</t>
  </si>
  <si>
    <t>crisref.email</t>
  </si>
  <si>
    <t>person.jobTitle</t>
  </si>
  <si>
    <t>Titulo de trabajo</t>
  </si>
  <si>
    <t>person.affiliation.name</t>
  </si>
  <si>
    <t>Main Affiliation</t>
  </si>
  <si>
    <t>person.identifier.orcid</t>
  </si>
  <si>
    <t>ORCID</t>
  </si>
  <si>
    <t>orcid</t>
  </si>
  <si>
    <t>person.identifier.scopus-author-id</t>
  </si>
  <si>
    <t>Scopus Author ID</t>
  </si>
  <si>
    <t>person.identifier.rid</t>
  </si>
  <si>
    <t>Researcher ID</t>
  </si>
  <si>
    <t>Biography</t>
  </si>
  <si>
    <t>METADATAGROUP</t>
  </si>
  <si>
    <t>oairecerif.person.affiliation</t>
  </si>
  <si>
    <t>Affiliation</t>
  </si>
  <si>
    <t>table</t>
  </si>
  <si>
    <t>crisrp.education</t>
  </si>
  <si>
    <t>Education</t>
  </si>
  <si>
    <t>crisrp.country</t>
  </si>
  <si>
    <t>cris.policy.eperson</t>
  </si>
  <si>
    <t>person.birthDate</t>
  </si>
  <si>
    <t>Birth Date</t>
  </si>
  <si>
    <t>Journal Title</t>
  </si>
  <si>
    <t>dc.identifier.issn</t>
  </si>
  <si>
    <t>ISSN</t>
  </si>
  <si>
    <t>dc.description</t>
  </si>
  <si>
    <t>Title</t>
  </si>
  <si>
    <t>oairecerif.event.startDate</t>
  </si>
  <si>
    <t>oairecerif.event.endDate</t>
  </si>
  <si>
    <t>oairecerif.event.place</t>
  </si>
  <si>
    <t>Location</t>
  </si>
  <si>
    <t>crisevent.organizerou</t>
  </si>
  <si>
    <t>Organizer</t>
  </si>
  <si>
    <t>crisevent.organizerpj</t>
  </si>
  <si>
    <t>crisevent.sponsorou</t>
  </si>
  <si>
    <t>Sponsor</t>
  </si>
  <si>
    <t>crisevent.sponsorpj</t>
  </si>
  <si>
    <t>crisevent.partnerou</t>
  </si>
  <si>
    <t>Partner Organisation</t>
  </si>
  <si>
    <t>crisevent.partnerpj</t>
  </si>
  <si>
    <t>Partner Project</t>
  </si>
  <si>
    <t>oairecerif.event.country</t>
  </si>
  <si>
    <t>Name</t>
  </si>
  <si>
    <t>crisequipment.ownerou</t>
  </si>
  <si>
    <t>Owner Organisation</t>
  </si>
  <si>
    <t>inline</t>
  </si>
  <si>
    <t>dc.contributor.author</t>
  </si>
  <si>
    <t>tag</t>
  </si>
  <si>
    <t>dc.identifier.doi</t>
  </si>
  <si>
    <t>DOI</t>
  </si>
  <si>
    <t>identifier.doi</t>
  </si>
  <si>
    <t>font-weight-bold col-12 text-muted</t>
  </si>
  <si>
    <t>dc.relation.journal</t>
  </si>
  <si>
    <t>antarc.citation.editorial</t>
  </si>
  <si>
    <t>Editorial</t>
  </si>
  <si>
    <t>oaire.citation.volume</t>
  </si>
  <si>
    <t>Volume</t>
  </si>
  <si>
    <t>antarc.citation.edition</t>
  </si>
  <si>
    <t>Edition</t>
  </si>
  <si>
    <t>antarc.citation.quartile</t>
  </si>
  <si>
    <t>Quartile</t>
  </si>
  <si>
    <t>oaire.citation.startPage</t>
  </si>
  <si>
    <t>Start Page</t>
  </si>
  <si>
    <t>dc.relation.ispartofseries</t>
  </si>
  <si>
    <t>Serie</t>
  </si>
  <si>
    <t>antarc.citation.numreport</t>
  </si>
  <si>
    <t>Report</t>
  </si>
  <si>
    <t>File(s)</t>
  </si>
  <si>
    <t>advancedattachment</t>
  </si>
  <si>
    <t>oairecerif.author.affiliation</t>
  </si>
  <si>
    <t>dc.relation.ispartof</t>
  </si>
  <si>
    <t>dc.relation.issn</t>
  </si>
  <si>
    <t>dc.date.issued</t>
  </si>
  <si>
    <t>Date Issued</t>
  </si>
  <si>
    <t>Author(s)</t>
  </si>
  <si>
    <t>Project(s)</t>
  </si>
  <si>
    <t>dc.relation.funding</t>
  </si>
  <si>
    <t>Funding(s)</t>
  </si>
  <si>
    <t>Subjects</t>
  </si>
  <si>
    <t>dc.identifier.patentno</t>
  </si>
  <si>
    <t>Research SDG</t>
  </si>
  <si>
    <t>PARENT</t>
  </si>
  <si>
    <t>text</t>
  </si>
  <si>
    <t>font-weight-bold</t>
  </si>
  <si>
    <t>crisrp.qualification.start</t>
  </si>
  <si>
    <t>Start</t>
  </si>
  <si>
    <t>crisrp.qualification.end</t>
  </si>
  <si>
    <t>End</t>
  </si>
  <si>
    <t>oairecerif.affiliation.role</t>
  </si>
  <si>
    <t>Role</t>
  </si>
  <si>
    <t>Organisation</t>
  </si>
  <si>
    <t>oairecerif.affiliation.startDate</t>
  </si>
  <si>
    <t>oairecerif.affiliation.endDate</t>
  </si>
  <si>
    <t>crisrp.education.role</t>
  </si>
  <si>
    <t>crisrp.education.start</t>
  </si>
  <si>
    <t>crisrp.education.end</t>
  </si>
  <si>
    <t>Author</t>
  </si>
  <si>
    <t>antarc.affiliation.orcid</t>
  </si>
  <si>
    <t>Orcid</t>
  </si>
  <si>
    <t>antarc.affiliation.ror</t>
  </si>
  <si>
    <t>ROR</t>
  </si>
  <si>
    <t>antarc.affiliation.country</t>
  </si>
  <si>
    <t>dc.contributor.editor</t>
  </si>
  <si>
    <t>Editor</t>
  </si>
  <si>
    <t>oairecerif.editor.affiliation</t>
  </si>
  <si>
    <t>header-tag header-tag-primary d</t>
  </si>
  <si>
    <t>Issue</t>
  </si>
  <si>
    <t>header-tag d</t>
  </si>
  <si>
    <t>Creator</t>
  </si>
  <si>
    <t>Inventor</t>
  </si>
  <si>
    <t>crisfund.investigators</t>
  </si>
  <si>
    <t>crisfund.leadorganizations</t>
  </si>
  <si>
    <t>Organization</t>
  </si>
  <si>
    <t>METRIC_TYPE</t>
  </si>
  <si>
    <t>scopusCitation, wosCitation</t>
  </si>
  <si>
    <t>altmetric, dimensions, plumX</t>
  </si>
  <si>
    <t>altmetric, dimensions</t>
  </si>
  <si>
    <t>view, download, embedded-view, embedded-download</t>
  </si>
  <si>
    <t>scopus-author-h-index, scopus-author-coauthor-count, scopus-author-cited-count, scopus-author-citation-count, scopus-author-document-count, wosPersonCitation</t>
  </si>
  <si>
    <t>view, embedded-view</t>
  </si>
  <si>
    <t>GROUP</t>
  </si>
  <si>
    <t>ALTERNATIVE_TO</t>
  </si>
  <si>
    <t>cris.policy.group</t>
  </si>
  <si>
    <t>crisfund.coinvestigators</t>
  </si>
  <si>
    <t>BOX-TYPES</t>
  </si>
  <si>
    <t>METADATA-RENDERING</t>
  </si>
  <si>
    <t>Security</t>
  </si>
  <si>
    <t>ADMINISTRATOR</t>
  </si>
  <si>
    <t>OWNER ONLY</t>
  </si>
  <si>
    <t>IIIFVIEWER</t>
  </si>
  <si>
    <t>OWNER &amp; ADMINISTRATOR</t>
  </si>
  <si>
    <t>link.label</t>
  </si>
  <si>
    <t>link.email</t>
  </si>
  <si>
    <t>CUSTOM DATA &amp; ADMINISTRATOR</t>
  </si>
  <si>
    <t>identifier</t>
  </si>
  <si>
    <t>identifier.hdl</t>
  </si>
  <si>
    <t>identifier.scopus</t>
  </si>
  <si>
    <t>identifier.researcherid</t>
  </si>
  <si>
    <t>identifier.mailto</t>
  </si>
  <si>
    <t>attachment</t>
  </si>
  <si>
    <t xml:space="preserve">valuepair </t>
  </si>
  <si>
    <t>PREFIX</t>
  </si>
  <si>
    <t>AUTOGENERATED I18N keys</t>
  </si>
  <si>
    <t>layout.tab.header.</t>
  </si>
  <si>
    <t xml:space="preserve">AUTOGENERATED I18N keys </t>
  </si>
  <si>
    <t>layout.box.header.</t>
  </si>
  <si>
    <t>layout.field.label.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</si>
</sst>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0" xfId="0" applyFill="1" applyFont="1"/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2" fontId="2" numFmtId="0" xfId="0" applyAlignment="1" applyFont="1">
      <alignment readingOrder="0"/>
    </xf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7" fontId="2" numFmtId="0" xfId="0" applyAlignment="1" applyFill="1" applyFont="1">
      <alignment readingOrder="0"/>
    </xf>
    <xf borderId="0" fillId="0" fontId="1" numFmtId="0" xfId="0" applyAlignment="1" applyFont="1">
      <alignment shrinkToFit="0" vertical="bottom" wrapText="1"/>
    </xf>
    <xf borderId="1" fillId="8" fontId="1" numFmtId="0" xfId="0" applyAlignment="1" applyBorder="1" applyFill="1" applyFont="1">
      <alignment shrinkToFit="0" vertical="bottom" wrapText="0"/>
    </xf>
    <xf borderId="1" fillId="8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20.38"/>
    <col customWidth="1" min="3" max="3" width="22.88"/>
    <col customWidth="1" min="4" max="4" width="10.63"/>
    <col customWidth="1" min="5" max="5" width="10.38"/>
    <col customWidth="1" min="6" max="6" width="15.13"/>
    <col customWidth="1" min="7" max="26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4.25" customHeight="1">
      <c r="A3" s="2" t="s">
        <v>6</v>
      </c>
      <c r="B3" s="3" t="s">
        <v>12</v>
      </c>
      <c r="C3" s="3" t="s">
        <v>13</v>
      </c>
      <c r="D3" s="4">
        <v>4.0</v>
      </c>
      <c r="E3" s="3" t="s">
        <v>14</v>
      </c>
      <c r="F3" s="3" t="s">
        <v>11</v>
      </c>
    </row>
    <row r="4" ht="14.25" customHeight="1">
      <c r="A4" s="2" t="s">
        <v>6</v>
      </c>
      <c r="B4" s="3" t="s">
        <v>15</v>
      </c>
      <c r="C4" s="3" t="s">
        <v>16</v>
      </c>
      <c r="D4" s="4">
        <v>6.0</v>
      </c>
      <c r="E4" s="3" t="s">
        <v>14</v>
      </c>
      <c r="F4" s="3" t="s">
        <v>11</v>
      </c>
    </row>
    <row r="5" ht="14.25" customHeight="1">
      <c r="A5" s="2" t="s">
        <v>6</v>
      </c>
      <c r="B5" s="4" t="s">
        <v>17</v>
      </c>
      <c r="C5" s="4" t="s">
        <v>18</v>
      </c>
      <c r="D5" s="4">
        <v>8.0</v>
      </c>
      <c r="E5" s="3" t="s">
        <v>14</v>
      </c>
      <c r="F5" s="3" t="s">
        <v>11</v>
      </c>
    </row>
    <row r="6" ht="14.25" customHeight="1">
      <c r="A6" s="2" t="s">
        <v>6</v>
      </c>
      <c r="B6" s="3" t="s">
        <v>19</v>
      </c>
      <c r="C6" s="3" t="s">
        <v>20</v>
      </c>
      <c r="D6" s="4">
        <v>2.0</v>
      </c>
      <c r="E6" s="3" t="s">
        <v>14</v>
      </c>
      <c r="F6" s="3" t="s">
        <v>11</v>
      </c>
    </row>
    <row r="7" ht="14.25" customHeight="1">
      <c r="A7" s="2" t="s">
        <v>6</v>
      </c>
      <c r="B7" s="3" t="s">
        <v>21</v>
      </c>
      <c r="C7" s="3" t="s">
        <v>22</v>
      </c>
      <c r="D7" s="3" t="s">
        <v>23</v>
      </c>
      <c r="E7" s="3" t="s">
        <v>14</v>
      </c>
      <c r="F7" s="3" t="s">
        <v>11</v>
      </c>
    </row>
    <row r="8" ht="14.25" customHeight="1">
      <c r="A8" s="2" t="s">
        <v>6</v>
      </c>
      <c r="B8" s="3" t="s">
        <v>24</v>
      </c>
      <c r="C8" s="3" t="s">
        <v>25</v>
      </c>
      <c r="D8" s="3" t="s">
        <v>23</v>
      </c>
      <c r="E8" s="3" t="s">
        <v>14</v>
      </c>
      <c r="F8" s="3" t="s">
        <v>26</v>
      </c>
    </row>
    <row r="9" ht="14.25" customHeight="1">
      <c r="A9" s="5" t="s">
        <v>27</v>
      </c>
      <c r="B9" s="3" t="s">
        <v>28</v>
      </c>
      <c r="C9" s="3" t="s">
        <v>29</v>
      </c>
      <c r="D9" s="3" t="s">
        <v>9</v>
      </c>
      <c r="E9" s="3" t="s">
        <v>10</v>
      </c>
      <c r="F9" s="3" t="s">
        <v>11</v>
      </c>
    </row>
    <row r="10" ht="14.25" customHeight="1">
      <c r="A10" s="5" t="s">
        <v>27</v>
      </c>
      <c r="B10" s="3" t="s">
        <v>30</v>
      </c>
      <c r="C10" s="3" t="s">
        <v>31</v>
      </c>
      <c r="D10" s="4">
        <v>16.0</v>
      </c>
      <c r="E10" s="3" t="s">
        <v>14</v>
      </c>
      <c r="F10" s="3" t="s">
        <v>11</v>
      </c>
    </row>
    <row r="11" ht="14.25" customHeight="1">
      <c r="A11" s="5" t="s">
        <v>27</v>
      </c>
      <c r="B11" s="3" t="s">
        <v>32</v>
      </c>
      <c r="C11" s="3" t="s">
        <v>33</v>
      </c>
      <c r="D11" s="4">
        <v>4.0</v>
      </c>
      <c r="E11" s="3" t="s">
        <v>14</v>
      </c>
      <c r="F11" s="3" t="s">
        <v>11</v>
      </c>
    </row>
    <row r="12" ht="14.25" customHeight="1">
      <c r="A12" s="5" t="s">
        <v>27</v>
      </c>
      <c r="B12" s="3" t="s">
        <v>15</v>
      </c>
      <c r="C12" s="3" t="s">
        <v>16</v>
      </c>
      <c r="D12" s="4">
        <v>10.0</v>
      </c>
      <c r="E12" s="3" t="s">
        <v>14</v>
      </c>
      <c r="F12" s="3" t="s">
        <v>11</v>
      </c>
    </row>
    <row r="13" ht="14.25" customHeight="1">
      <c r="A13" s="5" t="s">
        <v>27</v>
      </c>
      <c r="B13" s="3" t="s">
        <v>34</v>
      </c>
      <c r="C13" s="3" t="s">
        <v>35</v>
      </c>
      <c r="D13" s="4">
        <v>8.0</v>
      </c>
      <c r="E13" s="3" t="s">
        <v>14</v>
      </c>
      <c r="F13" s="3" t="s">
        <v>11</v>
      </c>
    </row>
    <row r="14" ht="14.25" customHeight="1">
      <c r="A14" s="5" t="s">
        <v>27</v>
      </c>
      <c r="B14" s="3" t="s">
        <v>36</v>
      </c>
      <c r="C14" s="3" t="s">
        <v>37</v>
      </c>
      <c r="D14" s="4">
        <v>2.0</v>
      </c>
      <c r="E14" s="3" t="s">
        <v>14</v>
      </c>
      <c r="F14" s="3" t="s">
        <v>11</v>
      </c>
    </row>
    <row r="15" ht="14.25" customHeight="1">
      <c r="A15" s="5" t="s">
        <v>27</v>
      </c>
      <c r="B15" s="4" t="s">
        <v>38</v>
      </c>
      <c r="C15" s="4" t="s">
        <v>39</v>
      </c>
      <c r="D15" s="6" t="s">
        <v>40</v>
      </c>
      <c r="E15" s="3" t="s">
        <v>14</v>
      </c>
      <c r="F15" s="3" t="s">
        <v>11</v>
      </c>
    </row>
    <row r="16" ht="14.25" customHeight="1">
      <c r="A16" s="5" t="s">
        <v>27</v>
      </c>
      <c r="B16" s="4" t="s">
        <v>17</v>
      </c>
      <c r="C16" s="4" t="s">
        <v>18</v>
      </c>
      <c r="D16" s="4">
        <v>14.0</v>
      </c>
      <c r="E16" s="3" t="s">
        <v>14</v>
      </c>
      <c r="F16" s="3" t="s">
        <v>11</v>
      </c>
    </row>
    <row r="17" ht="14.25" customHeight="1">
      <c r="A17" s="3" t="s">
        <v>41</v>
      </c>
      <c r="B17" s="3" t="s">
        <v>7</v>
      </c>
      <c r="C17" s="3" t="s">
        <v>42</v>
      </c>
      <c r="D17" s="3" t="s">
        <v>9</v>
      </c>
      <c r="E17" s="3" t="s">
        <v>14</v>
      </c>
      <c r="F17" s="3" t="s">
        <v>11</v>
      </c>
    </row>
    <row r="18" ht="14.25" customHeight="1">
      <c r="A18" s="3" t="s">
        <v>41</v>
      </c>
      <c r="B18" s="3" t="s">
        <v>43</v>
      </c>
      <c r="C18" s="3" t="s">
        <v>44</v>
      </c>
      <c r="D18" s="3" t="s">
        <v>9</v>
      </c>
      <c r="E18" s="3" t="s">
        <v>14</v>
      </c>
      <c r="F18" s="3" t="s">
        <v>11</v>
      </c>
    </row>
    <row r="19" ht="14.25" customHeight="1">
      <c r="A19" s="3" t="s">
        <v>41</v>
      </c>
      <c r="B19" s="3" t="s">
        <v>45</v>
      </c>
      <c r="C19" s="3" t="s">
        <v>46</v>
      </c>
      <c r="D19" s="3" t="s">
        <v>47</v>
      </c>
      <c r="E19" s="3" t="s">
        <v>14</v>
      </c>
      <c r="F19" s="3" t="s">
        <v>11</v>
      </c>
    </row>
    <row r="20" ht="14.25" customHeight="1">
      <c r="A20" s="3" t="s">
        <v>48</v>
      </c>
      <c r="B20" s="3" t="s">
        <v>7</v>
      </c>
      <c r="C20" s="3" t="s">
        <v>42</v>
      </c>
      <c r="D20" s="3" t="s">
        <v>9</v>
      </c>
      <c r="E20" s="3" t="s">
        <v>14</v>
      </c>
      <c r="F20" s="3" t="s">
        <v>11</v>
      </c>
    </row>
    <row r="21" ht="14.25" customHeight="1">
      <c r="A21" s="3" t="s">
        <v>49</v>
      </c>
      <c r="B21" s="3" t="s">
        <v>7</v>
      </c>
      <c r="C21" s="3" t="s">
        <v>42</v>
      </c>
      <c r="D21" s="3" t="s">
        <v>9</v>
      </c>
      <c r="E21" s="3" t="s">
        <v>14</v>
      </c>
      <c r="F21" s="3" t="s">
        <v>11</v>
      </c>
    </row>
    <row r="22" ht="14.25" customHeight="1">
      <c r="A22" s="3" t="s">
        <v>50</v>
      </c>
      <c r="B22" s="3" t="s">
        <v>7</v>
      </c>
      <c r="C22" s="3" t="s">
        <v>42</v>
      </c>
      <c r="D22" s="3" t="s">
        <v>9</v>
      </c>
      <c r="E22" s="3" t="s">
        <v>14</v>
      </c>
      <c r="F22" s="3" t="s">
        <v>11</v>
      </c>
    </row>
    <row r="23" ht="14.25" customHeight="1">
      <c r="A23" s="3" t="s">
        <v>51</v>
      </c>
      <c r="B23" s="3" t="s">
        <v>7</v>
      </c>
      <c r="C23" s="3" t="s">
        <v>42</v>
      </c>
      <c r="D23" s="3" t="s">
        <v>9</v>
      </c>
      <c r="E23" s="3" t="s">
        <v>10</v>
      </c>
      <c r="F23" s="3" t="s">
        <v>11</v>
      </c>
    </row>
    <row r="24" ht="14.25" customHeight="1">
      <c r="A24" s="3" t="s">
        <v>52</v>
      </c>
      <c r="B24" s="3" t="s">
        <v>7</v>
      </c>
      <c r="C24" s="3" t="s">
        <v>42</v>
      </c>
      <c r="D24" s="3" t="s">
        <v>9</v>
      </c>
      <c r="E24" s="3" t="s">
        <v>10</v>
      </c>
      <c r="F24" s="3" t="s">
        <v>11</v>
      </c>
    </row>
    <row r="25" ht="14.25" customHeight="1">
      <c r="A25" s="3" t="s">
        <v>53</v>
      </c>
      <c r="B25" s="3" t="s">
        <v>7</v>
      </c>
      <c r="C25" s="3" t="s">
        <v>42</v>
      </c>
      <c r="D25" s="3" t="s">
        <v>9</v>
      </c>
      <c r="E25" s="3" t="s">
        <v>14</v>
      </c>
      <c r="F25" s="3" t="s">
        <v>11</v>
      </c>
    </row>
    <row r="26" ht="14.25" customHeight="1">
      <c r="A26" s="3" t="s">
        <v>54</v>
      </c>
      <c r="B26" s="3" t="s">
        <v>7</v>
      </c>
      <c r="C26" s="3" t="s">
        <v>42</v>
      </c>
      <c r="D26" s="3" t="s">
        <v>9</v>
      </c>
      <c r="E26" s="3" t="s">
        <v>14</v>
      </c>
      <c r="F26" s="3" t="s">
        <v>11</v>
      </c>
    </row>
    <row r="27" ht="14.25" customHeight="1">
      <c r="A27" s="4" t="s">
        <v>39</v>
      </c>
      <c r="B27" s="3" t="s">
        <v>7</v>
      </c>
      <c r="C27" s="3" t="s">
        <v>42</v>
      </c>
      <c r="D27" s="3" t="s">
        <v>9</v>
      </c>
      <c r="E27" s="3" t="s">
        <v>14</v>
      </c>
      <c r="F27" s="3" t="s">
        <v>11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20.38"/>
    <col customWidth="1" min="3" max="3" width="6.38"/>
    <col customWidth="1" min="4" max="4" width="13.63"/>
    <col customWidth="1" min="5" max="5" width="14.0"/>
    <col customWidth="1" min="6" max="6" width="28.5"/>
    <col customWidth="1" min="7" max="26" width="8.0"/>
  </cols>
  <sheetData>
    <row r="1" ht="14.25" customHeight="1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27</v>
      </c>
      <c r="B2" s="3" t="s">
        <v>28</v>
      </c>
      <c r="C2" s="3">
        <v>1.0</v>
      </c>
      <c r="F2" s="3" t="s">
        <v>60</v>
      </c>
    </row>
    <row r="3" ht="14.25" customHeight="1">
      <c r="A3" s="3" t="s">
        <v>27</v>
      </c>
      <c r="B3" s="3" t="s">
        <v>28</v>
      </c>
      <c r="C3" s="3">
        <v>2.0</v>
      </c>
      <c r="F3" s="3" t="s">
        <v>61</v>
      </c>
    </row>
    <row r="4" ht="14.25" customHeight="1">
      <c r="A4" s="3" t="s">
        <v>27</v>
      </c>
      <c r="B4" s="3" t="s">
        <v>32</v>
      </c>
      <c r="C4" s="3">
        <v>1.0</v>
      </c>
      <c r="F4" s="3" t="s">
        <v>32</v>
      </c>
    </row>
    <row r="5" ht="14.25" customHeight="1">
      <c r="A5" s="3" t="s">
        <v>27</v>
      </c>
      <c r="B5" s="3" t="s">
        <v>15</v>
      </c>
      <c r="C5" s="3">
        <v>1.0</v>
      </c>
      <c r="F5" s="3" t="s">
        <v>15</v>
      </c>
    </row>
    <row r="6" ht="14.25" customHeight="1">
      <c r="A6" s="3" t="s">
        <v>27</v>
      </c>
      <c r="B6" s="3" t="s">
        <v>34</v>
      </c>
      <c r="C6" s="3">
        <v>1.0</v>
      </c>
      <c r="F6" s="3" t="s">
        <v>34</v>
      </c>
    </row>
    <row r="7" ht="14.25" customHeight="1">
      <c r="A7" s="3" t="s">
        <v>27</v>
      </c>
      <c r="B7" s="3" t="s">
        <v>36</v>
      </c>
      <c r="C7" s="3">
        <v>1.0</v>
      </c>
      <c r="F7" s="3" t="s">
        <v>36</v>
      </c>
    </row>
    <row r="8" ht="14.25" customHeight="1">
      <c r="A8" s="3" t="s">
        <v>27</v>
      </c>
      <c r="B8" s="4" t="s">
        <v>38</v>
      </c>
      <c r="C8" s="3">
        <v>1.0</v>
      </c>
      <c r="F8" s="4" t="s">
        <v>38</v>
      </c>
    </row>
    <row r="9" ht="14.25" customHeight="1">
      <c r="A9" s="3" t="s">
        <v>27</v>
      </c>
      <c r="B9" s="4" t="s">
        <v>17</v>
      </c>
      <c r="C9" s="4">
        <v>2.0</v>
      </c>
      <c r="F9" s="4" t="s">
        <v>62</v>
      </c>
    </row>
    <row r="10" ht="14.25" customHeight="1">
      <c r="A10" s="3" t="s">
        <v>41</v>
      </c>
      <c r="B10" s="3" t="s">
        <v>7</v>
      </c>
      <c r="C10" s="3">
        <v>1.0</v>
      </c>
      <c r="D10" s="3" t="s">
        <v>63</v>
      </c>
      <c r="F10" s="3" t="s">
        <v>64</v>
      </c>
    </row>
    <row r="11" ht="14.25" customHeight="1">
      <c r="A11" s="3" t="s">
        <v>41</v>
      </c>
      <c r="B11" s="3" t="s">
        <v>7</v>
      </c>
      <c r="C11" s="3">
        <v>2.0</v>
      </c>
      <c r="D11" s="3" t="s">
        <v>63</v>
      </c>
      <c r="F11" s="3" t="s">
        <v>65</v>
      </c>
    </row>
    <row r="12" ht="14.25" customHeight="1">
      <c r="A12" s="3" t="s">
        <v>41</v>
      </c>
      <c r="B12" s="3" t="s">
        <v>7</v>
      </c>
      <c r="C12" s="3">
        <v>3.0</v>
      </c>
      <c r="D12" s="3" t="s">
        <v>63</v>
      </c>
      <c r="F12" s="3" t="s">
        <v>66</v>
      </c>
    </row>
    <row r="13" ht="14.25" customHeight="1">
      <c r="A13" s="3" t="s">
        <v>41</v>
      </c>
      <c r="B13" s="3" t="s">
        <v>7</v>
      </c>
      <c r="C13" s="3">
        <v>4.0</v>
      </c>
      <c r="D13" s="3" t="s">
        <v>63</v>
      </c>
      <c r="F13" s="3" t="s">
        <v>30</v>
      </c>
    </row>
    <row r="14" ht="14.25" customHeight="1">
      <c r="A14" s="3" t="s">
        <v>41</v>
      </c>
      <c r="B14" s="3" t="s">
        <v>7</v>
      </c>
      <c r="C14" s="3">
        <v>5.0</v>
      </c>
      <c r="D14" s="3" t="s">
        <v>63</v>
      </c>
      <c r="F14" s="3" t="s">
        <v>67</v>
      </c>
    </row>
    <row r="15" ht="14.25" customHeight="1">
      <c r="A15" s="3" t="s">
        <v>41</v>
      </c>
      <c r="B15" s="3" t="s">
        <v>43</v>
      </c>
      <c r="C15" s="3">
        <v>1.0</v>
      </c>
      <c r="F15" s="3" t="s">
        <v>68</v>
      </c>
    </row>
    <row r="16" ht="14.25" customHeight="1">
      <c r="A16" s="3" t="s">
        <v>41</v>
      </c>
      <c r="B16" s="3" t="s">
        <v>45</v>
      </c>
      <c r="C16" s="3">
        <v>1.0</v>
      </c>
      <c r="F16" s="3" t="s">
        <v>69</v>
      </c>
    </row>
    <row r="17" ht="14.25" customHeight="1">
      <c r="A17" s="3" t="s">
        <v>51</v>
      </c>
      <c r="B17" s="3" t="s">
        <v>7</v>
      </c>
      <c r="C17" s="3">
        <v>1.0</v>
      </c>
      <c r="F17" s="3" t="s">
        <v>60</v>
      </c>
    </row>
    <row r="18" ht="14.25" customHeight="1">
      <c r="A18" s="3" t="s">
        <v>51</v>
      </c>
      <c r="B18" s="3" t="s">
        <v>7</v>
      </c>
      <c r="C18" s="3">
        <v>2.0</v>
      </c>
      <c r="F18" s="3" t="s">
        <v>64</v>
      </c>
    </row>
    <row r="19" ht="14.25" customHeight="1">
      <c r="A19" s="3" t="s">
        <v>51</v>
      </c>
      <c r="B19" s="3" t="s">
        <v>7</v>
      </c>
      <c r="C19" s="3">
        <v>3.0</v>
      </c>
      <c r="F19" s="3" t="s">
        <v>70</v>
      </c>
    </row>
    <row r="20" ht="14.25" customHeight="1">
      <c r="A20" s="3" t="s">
        <v>51</v>
      </c>
      <c r="B20" s="3" t="s">
        <v>7</v>
      </c>
      <c r="C20" s="3">
        <v>4.0</v>
      </c>
      <c r="E20" s="3" t="s">
        <v>71</v>
      </c>
      <c r="F20" s="3" t="s">
        <v>72</v>
      </c>
    </row>
    <row r="21" ht="14.25" customHeight="1">
      <c r="A21" s="3" t="s">
        <v>6</v>
      </c>
      <c r="B21" s="3" t="s">
        <v>7</v>
      </c>
      <c r="C21" s="3">
        <v>1.0</v>
      </c>
      <c r="F21" s="3" t="s">
        <v>60</v>
      </c>
    </row>
    <row r="22" ht="14.25" customHeight="1">
      <c r="A22" s="3" t="s">
        <v>6</v>
      </c>
      <c r="B22" s="3" t="s">
        <v>7</v>
      </c>
      <c r="C22" s="3">
        <v>2.0</v>
      </c>
      <c r="F22" s="3" t="s">
        <v>73</v>
      </c>
    </row>
    <row r="23" ht="14.25" customHeight="1">
      <c r="A23" s="3" t="s">
        <v>6</v>
      </c>
      <c r="B23" s="3" t="s">
        <v>12</v>
      </c>
      <c r="C23" s="3">
        <v>2.0</v>
      </c>
      <c r="F23" s="3" t="s">
        <v>68</v>
      </c>
    </row>
    <row r="24" ht="14.25" customHeight="1">
      <c r="A24" s="3" t="s">
        <v>6</v>
      </c>
      <c r="B24" s="3" t="s">
        <v>15</v>
      </c>
      <c r="C24" s="3">
        <v>2.0</v>
      </c>
      <c r="F24" s="3" t="s">
        <v>15</v>
      </c>
    </row>
    <row r="25" ht="14.25" customHeight="1">
      <c r="A25" s="3" t="s">
        <v>6</v>
      </c>
      <c r="B25" s="3" t="s">
        <v>21</v>
      </c>
      <c r="C25" s="3">
        <v>1.0</v>
      </c>
      <c r="F25" s="3" t="s">
        <v>72</v>
      </c>
    </row>
    <row r="26" ht="14.25" customHeight="1">
      <c r="A26" s="3" t="s">
        <v>6</v>
      </c>
      <c r="B26" s="3" t="s">
        <v>21</v>
      </c>
      <c r="C26" s="3">
        <v>2.0</v>
      </c>
      <c r="F26" s="3" t="s">
        <v>74</v>
      </c>
    </row>
    <row r="27" ht="14.25" customHeight="1">
      <c r="A27" s="3" t="s">
        <v>6</v>
      </c>
      <c r="B27" s="3" t="s">
        <v>19</v>
      </c>
      <c r="C27" s="3">
        <v>1.0</v>
      </c>
      <c r="D27" s="3" t="s">
        <v>63</v>
      </c>
      <c r="F27" s="3" t="s">
        <v>75</v>
      </c>
    </row>
    <row r="28" ht="14.25" customHeight="1">
      <c r="A28" s="3" t="s">
        <v>6</v>
      </c>
      <c r="B28" s="3" t="s">
        <v>19</v>
      </c>
      <c r="C28" s="3">
        <v>2.0</v>
      </c>
      <c r="D28" s="3" t="s">
        <v>63</v>
      </c>
      <c r="F28" s="3" t="s">
        <v>76</v>
      </c>
    </row>
    <row r="29" ht="14.25" customHeight="1">
      <c r="A29" s="3" t="s">
        <v>6</v>
      </c>
      <c r="B29" s="3" t="s">
        <v>19</v>
      </c>
      <c r="C29" s="3">
        <v>3.0</v>
      </c>
      <c r="D29" s="3" t="s">
        <v>63</v>
      </c>
      <c r="F29" s="3" t="s">
        <v>77</v>
      </c>
    </row>
    <row r="30" ht="14.25" customHeight="1">
      <c r="A30" s="3" t="s">
        <v>6</v>
      </c>
      <c r="B30" s="3" t="s">
        <v>19</v>
      </c>
      <c r="C30" s="3">
        <v>4.0</v>
      </c>
      <c r="D30" s="3" t="s">
        <v>63</v>
      </c>
      <c r="F30" s="3" t="s">
        <v>24</v>
      </c>
    </row>
    <row r="31" ht="14.25" customHeight="1">
      <c r="A31" s="4" t="s">
        <v>6</v>
      </c>
      <c r="B31" s="4" t="s">
        <v>17</v>
      </c>
      <c r="C31" s="4">
        <v>2.0</v>
      </c>
      <c r="F31" s="4" t="s">
        <v>62</v>
      </c>
    </row>
    <row r="32" ht="14.25" customHeight="1">
      <c r="A32" s="3" t="s">
        <v>6</v>
      </c>
      <c r="B32" s="3" t="s">
        <v>24</v>
      </c>
      <c r="C32" s="3">
        <v>2.0</v>
      </c>
      <c r="F32" s="3" t="s">
        <v>24</v>
      </c>
    </row>
    <row r="33" ht="14.25" customHeight="1">
      <c r="A33" s="3" t="s">
        <v>48</v>
      </c>
      <c r="B33" s="3" t="s">
        <v>7</v>
      </c>
      <c r="C33" s="3">
        <v>1.0</v>
      </c>
      <c r="F33" s="3" t="s">
        <v>7</v>
      </c>
    </row>
    <row r="34" ht="14.25" customHeight="1">
      <c r="A34" s="3" t="s">
        <v>48</v>
      </c>
      <c r="B34" s="3" t="s">
        <v>7</v>
      </c>
      <c r="C34" s="3">
        <v>2.0</v>
      </c>
      <c r="F34" s="3" t="s">
        <v>72</v>
      </c>
    </row>
    <row r="35" ht="14.25" customHeight="1">
      <c r="A35" s="3" t="s">
        <v>49</v>
      </c>
      <c r="B35" s="3" t="s">
        <v>7</v>
      </c>
      <c r="C35" s="3">
        <v>1.0</v>
      </c>
      <c r="F35" s="3" t="s">
        <v>7</v>
      </c>
    </row>
    <row r="36" ht="14.25" customHeight="1">
      <c r="A36" s="3" t="s">
        <v>49</v>
      </c>
      <c r="B36" s="3" t="s">
        <v>7</v>
      </c>
      <c r="C36" s="3">
        <v>2.0</v>
      </c>
      <c r="F36" s="3" t="s">
        <v>72</v>
      </c>
    </row>
    <row r="37" ht="14.25" customHeight="1">
      <c r="A37" s="3" t="s">
        <v>50</v>
      </c>
      <c r="B37" s="3" t="s">
        <v>7</v>
      </c>
      <c r="C37" s="3">
        <v>1.0</v>
      </c>
      <c r="F37" s="3" t="s">
        <v>7</v>
      </c>
    </row>
    <row r="38" ht="14.25" customHeight="1">
      <c r="A38" s="3" t="s">
        <v>50</v>
      </c>
      <c r="B38" s="3" t="s">
        <v>7</v>
      </c>
      <c r="C38" s="3">
        <v>2.0</v>
      </c>
      <c r="F38" s="3" t="s">
        <v>72</v>
      </c>
    </row>
    <row r="39" ht="14.25" customHeight="1">
      <c r="A39" s="3" t="s">
        <v>52</v>
      </c>
      <c r="B39" s="3" t="s">
        <v>7</v>
      </c>
      <c r="C39" s="3">
        <v>1.0</v>
      </c>
      <c r="D39" s="3" t="s">
        <v>63</v>
      </c>
      <c r="F39" s="3" t="s">
        <v>60</v>
      </c>
    </row>
    <row r="40" ht="14.25" customHeight="1">
      <c r="A40" s="3" t="s">
        <v>52</v>
      </c>
      <c r="B40" s="3" t="s">
        <v>7</v>
      </c>
      <c r="C40" s="3">
        <v>5.0</v>
      </c>
      <c r="D40" s="3" t="s">
        <v>63</v>
      </c>
      <c r="F40" s="3" t="s">
        <v>7</v>
      </c>
    </row>
    <row r="41" ht="14.25" customHeight="1">
      <c r="A41" s="3" t="s">
        <v>52</v>
      </c>
      <c r="B41" s="3" t="s">
        <v>7</v>
      </c>
      <c r="C41" s="3">
        <v>3.0</v>
      </c>
      <c r="D41" s="3" t="s">
        <v>63</v>
      </c>
      <c r="F41" s="3" t="s">
        <v>78</v>
      </c>
    </row>
    <row r="42" ht="14.25" customHeight="1">
      <c r="A42" s="3" t="s">
        <v>52</v>
      </c>
      <c r="B42" s="3" t="s">
        <v>7</v>
      </c>
      <c r="C42" s="3">
        <v>4.0</v>
      </c>
      <c r="D42" s="3" t="s">
        <v>63</v>
      </c>
      <c r="F42" s="3" t="s">
        <v>79</v>
      </c>
    </row>
    <row r="43" ht="14.25" customHeight="1">
      <c r="A43" s="3" t="s">
        <v>52</v>
      </c>
      <c r="B43" s="3" t="s">
        <v>7</v>
      </c>
      <c r="C43" s="3">
        <v>6.0</v>
      </c>
      <c r="D43" s="3" t="s">
        <v>63</v>
      </c>
      <c r="F43" s="3" t="s">
        <v>80</v>
      </c>
    </row>
    <row r="44" ht="14.25" customHeight="1">
      <c r="A44" s="3" t="s">
        <v>52</v>
      </c>
      <c r="B44" s="3" t="s">
        <v>7</v>
      </c>
      <c r="C44" s="3">
        <v>7.0</v>
      </c>
      <c r="D44" s="3" t="s">
        <v>63</v>
      </c>
      <c r="F44" s="3" t="s">
        <v>81</v>
      </c>
    </row>
    <row r="45" ht="14.25" customHeight="1">
      <c r="A45" s="3" t="s">
        <v>52</v>
      </c>
      <c r="B45" s="3" t="s">
        <v>7</v>
      </c>
      <c r="C45" s="3">
        <v>2.0</v>
      </c>
      <c r="D45" s="3" t="s">
        <v>63</v>
      </c>
      <c r="F45" s="3" t="s">
        <v>82</v>
      </c>
    </row>
    <row r="46" ht="14.25" customHeight="1">
      <c r="A46" s="3" t="s">
        <v>52</v>
      </c>
      <c r="B46" s="3" t="s">
        <v>7</v>
      </c>
      <c r="C46" s="3">
        <v>9.0</v>
      </c>
      <c r="D46" s="3" t="s">
        <v>63</v>
      </c>
      <c r="F46" s="3" t="s">
        <v>83</v>
      </c>
    </row>
    <row r="47" ht="14.25" customHeight="1">
      <c r="A47" s="3" t="s">
        <v>52</v>
      </c>
      <c r="B47" s="3" t="s">
        <v>7</v>
      </c>
      <c r="C47" s="3">
        <v>8.0</v>
      </c>
      <c r="D47" s="3" t="s">
        <v>63</v>
      </c>
      <c r="F47" s="3" t="s">
        <v>84</v>
      </c>
    </row>
    <row r="48" ht="14.25" customHeight="1">
      <c r="A48" s="3" t="s">
        <v>54</v>
      </c>
      <c r="B48" s="3" t="s">
        <v>7</v>
      </c>
      <c r="C48" s="3">
        <v>1.0</v>
      </c>
      <c r="F48" s="3" t="s">
        <v>7</v>
      </c>
    </row>
    <row r="49" ht="14.25" customHeight="1">
      <c r="A49" s="3" t="s">
        <v>54</v>
      </c>
      <c r="B49" s="3" t="s">
        <v>7</v>
      </c>
      <c r="C49" s="3">
        <v>2.0</v>
      </c>
      <c r="F49" s="3" t="s">
        <v>72</v>
      </c>
    </row>
    <row r="50" ht="14.25" customHeight="1">
      <c r="A50" s="3" t="s">
        <v>54</v>
      </c>
      <c r="B50" s="3" t="s">
        <v>7</v>
      </c>
      <c r="C50" s="3">
        <v>2.0</v>
      </c>
      <c r="F50" s="3" t="s">
        <v>85</v>
      </c>
    </row>
    <row r="51" ht="14.25" customHeight="1">
      <c r="A51" s="3" t="s">
        <v>54</v>
      </c>
      <c r="B51" s="3" t="s">
        <v>7</v>
      </c>
      <c r="C51" s="3">
        <v>2.0</v>
      </c>
      <c r="F51" s="3" t="s">
        <v>74</v>
      </c>
    </row>
    <row r="52" ht="14.25" customHeight="1">
      <c r="A52" s="3" t="s">
        <v>54</v>
      </c>
      <c r="B52" s="3" t="s">
        <v>7</v>
      </c>
      <c r="C52" s="3">
        <v>5.0</v>
      </c>
      <c r="D52" s="3" t="s">
        <v>86</v>
      </c>
      <c r="F52" s="3" t="s">
        <v>83</v>
      </c>
    </row>
    <row r="53" ht="14.25" customHeight="1">
      <c r="A53" s="3" t="s">
        <v>53</v>
      </c>
      <c r="B53" s="3" t="s">
        <v>7</v>
      </c>
      <c r="C53" s="3">
        <v>1.0</v>
      </c>
      <c r="F53" s="3" t="s">
        <v>7</v>
      </c>
    </row>
    <row r="54" ht="14.25" customHeight="1">
      <c r="A54" s="3" t="s">
        <v>53</v>
      </c>
      <c r="B54" s="3" t="s">
        <v>7</v>
      </c>
      <c r="C54" s="3">
        <v>2.0</v>
      </c>
      <c r="F54" s="3" t="s">
        <v>72</v>
      </c>
    </row>
    <row r="55" ht="14.25" customHeight="1">
      <c r="A55" s="3" t="s">
        <v>53</v>
      </c>
      <c r="B55" s="3" t="s">
        <v>7</v>
      </c>
      <c r="C55" s="3">
        <v>3.0</v>
      </c>
      <c r="F55" s="3" t="s">
        <v>85</v>
      </c>
    </row>
    <row r="56" ht="14.25" customHeight="1">
      <c r="A56" s="3" t="s">
        <v>53</v>
      </c>
      <c r="B56" s="3" t="s">
        <v>7</v>
      </c>
      <c r="C56" s="3">
        <v>4.0</v>
      </c>
      <c r="F56" s="3" t="s">
        <v>74</v>
      </c>
    </row>
    <row r="57" ht="14.25" customHeight="1">
      <c r="A57" s="3" t="s">
        <v>53</v>
      </c>
      <c r="B57" s="3" t="s">
        <v>7</v>
      </c>
      <c r="C57" s="3">
        <v>5.0</v>
      </c>
      <c r="D57" s="3" t="s">
        <v>86</v>
      </c>
      <c r="F57" s="3" t="s">
        <v>83</v>
      </c>
    </row>
    <row r="58" ht="14.25" customHeight="1">
      <c r="A58" s="4" t="s">
        <v>39</v>
      </c>
      <c r="B58" s="3" t="s">
        <v>7</v>
      </c>
      <c r="C58" s="3">
        <v>1.0</v>
      </c>
      <c r="D58" s="3" t="s">
        <v>63</v>
      </c>
      <c r="F58" s="3" t="s">
        <v>60</v>
      </c>
    </row>
    <row r="59" ht="14.25" customHeight="1">
      <c r="A59" s="7" t="s">
        <v>39</v>
      </c>
      <c r="B59" s="8" t="s">
        <v>7</v>
      </c>
      <c r="C59" s="9">
        <v>5.0</v>
      </c>
      <c r="D59" s="8" t="s">
        <v>63</v>
      </c>
      <c r="E59" s="8"/>
      <c r="F59" s="3" t="s">
        <v>80</v>
      </c>
    </row>
    <row r="60" ht="14.25" customHeight="1">
      <c r="A60" s="4" t="s">
        <v>39</v>
      </c>
      <c r="B60" s="3" t="s">
        <v>7</v>
      </c>
      <c r="C60" s="4">
        <v>2.0</v>
      </c>
      <c r="D60" s="3" t="s">
        <v>63</v>
      </c>
      <c r="F60" s="4" t="s">
        <v>81</v>
      </c>
    </row>
    <row r="61" ht="14.25" customHeight="1">
      <c r="A61" s="4" t="s">
        <v>39</v>
      </c>
      <c r="B61" s="3" t="s">
        <v>7</v>
      </c>
      <c r="C61" s="4">
        <v>3.0</v>
      </c>
      <c r="D61" s="3" t="s">
        <v>63</v>
      </c>
      <c r="F61" s="3" t="s">
        <v>78</v>
      </c>
    </row>
    <row r="62" ht="14.25" customHeight="1">
      <c r="A62" s="8" t="s">
        <v>39</v>
      </c>
      <c r="B62" s="8" t="s">
        <v>7</v>
      </c>
      <c r="C62" s="10">
        <v>4.0</v>
      </c>
      <c r="D62" s="8" t="s">
        <v>63</v>
      </c>
      <c r="E62" s="8"/>
      <c r="F62" s="3" t="s">
        <v>79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3" width="13.63"/>
    <col customWidth="1" min="4" max="4" width="15.75"/>
    <col customWidth="1" min="5" max="5" width="31.0"/>
    <col customWidth="1" min="6" max="6" width="13.0"/>
    <col customWidth="1" min="7" max="7" width="8.0"/>
    <col customWidth="1" min="8" max="8" width="15.13"/>
    <col customWidth="1" min="9" max="26" width="8.0"/>
  </cols>
  <sheetData>
    <row r="1" ht="14.25" customHeight="1">
      <c r="A1" s="1" t="s">
        <v>0</v>
      </c>
      <c r="B1" s="1" t="s">
        <v>87</v>
      </c>
      <c r="C1" s="1" t="s">
        <v>88</v>
      </c>
      <c r="D1" s="1" t="s">
        <v>1</v>
      </c>
      <c r="E1" s="1" t="s">
        <v>2</v>
      </c>
      <c r="F1" s="1" t="s">
        <v>89</v>
      </c>
      <c r="G1" s="1" t="s">
        <v>90</v>
      </c>
      <c r="H1" s="1" t="s">
        <v>5</v>
      </c>
      <c r="I1" s="1" t="s">
        <v>91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6</v>
      </c>
      <c r="B2" s="3" t="s">
        <v>14</v>
      </c>
      <c r="D2" s="3" t="s">
        <v>60</v>
      </c>
      <c r="F2" s="3" t="s">
        <v>14</v>
      </c>
      <c r="G2" s="3" t="s">
        <v>14</v>
      </c>
      <c r="H2" s="3" t="s">
        <v>11</v>
      </c>
    </row>
    <row r="3" ht="14.25" customHeight="1">
      <c r="A3" s="2" t="s">
        <v>6</v>
      </c>
      <c r="B3" s="3" t="s">
        <v>14</v>
      </c>
      <c r="C3" s="3" t="s">
        <v>92</v>
      </c>
      <c r="D3" s="3" t="s">
        <v>15</v>
      </c>
      <c r="E3" s="3" t="s">
        <v>16</v>
      </c>
      <c r="F3" s="3" t="s">
        <v>14</v>
      </c>
      <c r="G3" s="3" t="s">
        <v>14</v>
      </c>
      <c r="H3" s="3" t="s">
        <v>11</v>
      </c>
    </row>
    <row r="4" ht="14.25" customHeight="1">
      <c r="A4" s="2" t="s">
        <v>6</v>
      </c>
      <c r="B4" s="3" t="s">
        <v>14</v>
      </c>
      <c r="C4" s="3" t="s">
        <v>92</v>
      </c>
      <c r="D4" s="3" t="s">
        <v>68</v>
      </c>
      <c r="E4" s="3" t="s">
        <v>13</v>
      </c>
      <c r="F4" s="3" t="s">
        <v>14</v>
      </c>
      <c r="G4" s="3" t="s">
        <v>14</v>
      </c>
      <c r="H4" s="3" t="s">
        <v>11</v>
      </c>
    </row>
    <row r="5" ht="14.25" customHeight="1">
      <c r="A5" s="2" t="s">
        <v>6</v>
      </c>
      <c r="B5" s="3" t="s">
        <v>14</v>
      </c>
      <c r="D5" s="3" t="s">
        <v>77</v>
      </c>
      <c r="E5" s="3" t="s">
        <v>93</v>
      </c>
      <c r="F5" s="3" t="s">
        <v>14</v>
      </c>
      <c r="G5" s="3" t="s">
        <v>14</v>
      </c>
      <c r="H5" s="3" t="s">
        <v>11</v>
      </c>
    </row>
    <row r="6" ht="14.25" customHeight="1">
      <c r="A6" s="2" t="s">
        <v>6</v>
      </c>
      <c r="B6" s="3" t="s">
        <v>14</v>
      </c>
      <c r="D6" s="3" t="s">
        <v>76</v>
      </c>
      <c r="E6" s="3" t="s">
        <v>94</v>
      </c>
      <c r="F6" s="3" t="s">
        <v>14</v>
      </c>
      <c r="G6" s="3" t="s">
        <v>14</v>
      </c>
      <c r="H6" s="3" t="s">
        <v>11</v>
      </c>
    </row>
    <row r="7" ht="14.25" customHeight="1">
      <c r="A7" s="2" t="s">
        <v>6</v>
      </c>
      <c r="B7" s="3" t="s">
        <v>14</v>
      </c>
      <c r="D7" s="3" t="s">
        <v>73</v>
      </c>
      <c r="E7" s="3" t="s">
        <v>95</v>
      </c>
      <c r="F7" s="3" t="s">
        <v>14</v>
      </c>
      <c r="G7" s="3" t="s">
        <v>10</v>
      </c>
      <c r="H7" s="3" t="s">
        <v>11</v>
      </c>
    </row>
    <row r="8" ht="14.25" customHeight="1">
      <c r="A8" s="2" t="s">
        <v>6</v>
      </c>
      <c r="B8" s="3" t="s">
        <v>14</v>
      </c>
      <c r="D8" s="3" t="s">
        <v>75</v>
      </c>
      <c r="E8" s="3" t="s">
        <v>8</v>
      </c>
      <c r="F8" s="3" t="s">
        <v>14</v>
      </c>
      <c r="G8" s="3" t="s">
        <v>14</v>
      </c>
      <c r="H8" s="3" t="s">
        <v>11</v>
      </c>
    </row>
    <row r="9" ht="14.25" customHeight="1">
      <c r="A9" s="2" t="s">
        <v>6</v>
      </c>
      <c r="B9" s="3" t="s">
        <v>14</v>
      </c>
      <c r="C9" s="3" t="s">
        <v>96</v>
      </c>
      <c r="D9" s="3" t="s">
        <v>72</v>
      </c>
      <c r="E9" s="3" t="s">
        <v>22</v>
      </c>
      <c r="F9" s="3" t="s">
        <v>14</v>
      </c>
      <c r="G9" s="3" t="s">
        <v>14</v>
      </c>
      <c r="H9" s="3" t="s">
        <v>11</v>
      </c>
    </row>
    <row r="10" ht="14.25" customHeight="1">
      <c r="A10" s="2" t="s">
        <v>6</v>
      </c>
      <c r="B10" s="3" t="s">
        <v>14</v>
      </c>
      <c r="C10" s="3" t="s">
        <v>96</v>
      </c>
      <c r="D10" s="3" t="s">
        <v>74</v>
      </c>
      <c r="E10" s="3" t="s">
        <v>97</v>
      </c>
      <c r="F10" s="3" t="s">
        <v>14</v>
      </c>
      <c r="G10" s="3" t="s">
        <v>14</v>
      </c>
      <c r="H10" s="3" t="s">
        <v>11</v>
      </c>
    </row>
    <row r="11" ht="14.25" customHeight="1">
      <c r="A11" s="2" t="s">
        <v>6</v>
      </c>
      <c r="B11" s="3" t="s">
        <v>14</v>
      </c>
      <c r="D11" s="3" t="s">
        <v>24</v>
      </c>
      <c r="E11" s="3" t="s">
        <v>98</v>
      </c>
      <c r="F11" s="3" t="s">
        <v>14</v>
      </c>
      <c r="G11" s="3" t="s">
        <v>10</v>
      </c>
      <c r="H11" s="3" t="s">
        <v>26</v>
      </c>
    </row>
    <row r="12" ht="14.25" customHeight="1">
      <c r="A12" s="11" t="s">
        <v>6</v>
      </c>
      <c r="B12" s="4" t="s">
        <v>14</v>
      </c>
      <c r="C12" s="4" t="s">
        <v>99</v>
      </c>
      <c r="D12" s="4" t="s">
        <v>62</v>
      </c>
      <c r="E12" s="4" t="s">
        <v>100</v>
      </c>
      <c r="F12" s="4" t="s">
        <v>14</v>
      </c>
      <c r="G12" s="4" t="s">
        <v>14</v>
      </c>
      <c r="H12" s="3" t="s">
        <v>11</v>
      </c>
    </row>
    <row r="13" ht="14.25" customHeight="1">
      <c r="A13" s="5" t="s">
        <v>27</v>
      </c>
      <c r="B13" s="3" t="s">
        <v>14</v>
      </c>
      <c r="C13" s="3" t="s">
        <v>92</v>
      </c>
      <c r="D13" s="3" t="s">
        <v>34</v>
      </c>
      <c r="E13" s="3" t="s">
        <v>101</v>
      </c>
      <c r="F13" s="3" t="s">
        <v>14</v>
      </c>
      <c r="G13" s="3" t="s">
        <v>14</v>
      </c>
      <c r="H13" s="3" t="s">
        <v>11</v>
      </c>
    </row>
    <row r="14" ht="14.25" customHeight="1">
      <c r="A14" s="5" t="s">
        <v>27</v>
      </c>
      <c r="B14" s="3" t="s">
        <v>14</v>
      </c>
      <c r="C14" s="3" t="s">
        <v>92</v>
      </c>
      <c r="D14" s="3" t="s">
        <v>32</v>
      </c>
      <c r="E14" s="3" t="s">
        <v>102</v>
      </c>
      <c r="F14" s="3" t="s">
        <v>14</v>
      </c>
      <c r="G14" s="3" t="s">
        <v>14</v>
      </c>
      <c r="H14" s="3" t="s">
        <v>11</v>
      </c>
    </row>
    <row r="15" ht="14.25" customHeight="1">
      <c r="A15" s="5" t="s">
        <v>27</v>
      </c>
      <c r="B15" s="3" t="s">
        <v>14</v>
      </c>
      <c r="C15" s="3" t="s">
        <v>92</v>
      </c>
      <c r="D15" s="3" t="s">
        <v>36</v>
      </c>
      <c r="E15" s="3" t="s">
        <v>103</v>
      </c>
      <c r="F15" s="3" t="s">
        <v>14</v>
      </c>
      <c r="G15" s="3" t="s">
        <v>14</v>
      </c>
      <c r="H15" s="3" t="s">
        <v>11</v>
      </c>
    </row>
    <row r="16" ht="14.25" customHeight="1">
      <c r="A16" s="5" t="s">
        <v>27</v>
      </c>
      <c r="B16" s="3" t="s">
        <v>14</v>
      </c>
      <c r="C16" s="3" t="s">
        <v>92</v>
      </c>
      <c r="D16" s="3" t="s">
        <v>15</v>
      </c>
      <c r="E16" s="3" t="s">
        <v>104</v>
      </c>
      <c r="F16" s="3" t="s">
        <v>14</v>
      </c>
      <c r="G16" s="3" t="s">
        <v>14</v>
      </c>
      <c r="H16" s="3" t="s">
        <v>11</v>
      </c>
    </row>
    <row r="17" ht="14.25" customHeight="1">
      <c r="A17" s="5" t="s">
        <v>27</v>
      </c>
      <c r="B17" s="3" t="s">
        <v>14</v>
      </c>
      <c r="C17" s="3" t="s">
        <v>92</v>
      </c>
      <c r="D17" s="4" t="s">
        <v>38</v>
      </c>
      <c r="E17" s="4" t="s">
        <v>105</v>
      </c>
      <c r="F17" s="3" t="s">
        <v>14</v>
      </c>
      <c r="G17" s="3" t="s">
        <v>14</v>
      </c>
      <c r="H17" s="3" t="s">
        <v>11</v>
      </c>
    </row>
    <row r="18" ht="14.25" customHeight="1">
      <c r="A18" s="5" t="s">
        <v>27</v>
      </c>
      <c r="B18" s="3" t="s">
        <v>14</v>
      </c>
      <c r="D18" s="3" t="s">
        <v>60</v>
      </c>
      <c r="F18" s="3" t="s">
        <v>14</v>
      </c>
      <c r="G18" s="3" t="s">
        <v>14</v>
      </c>
      <c r="H18" s="3" t="s">
        <v>11</v>
      </c>
    </row>
    <row r="19" ht="14.25" customHeight="1">
      <c r="A19" s="5" t="s">
        <v>27</v>
      </c>
      <c r="B19" s="3" t="s">
        <v>14</v>
      </c>
      <c r="D19" s="3" t="s">
        <v>106</v>
      </c>
      <c r="E19" s="3" t="s">
        <v>107</v>
      </c>
      <c r="F19" s="3" t="s">
        <v>14</v>
      </c>
      <c r="G19" s="3" t="s">
        <v>14</v>
      </c>
      <c r="H19" s="3" t="s">
        <v>11</v>
      </c>
    </row>
    <row r="20" ht="14.25" customHeight="1">
      <c r="A20" s="5" t="s">
        <v>27</v>
      </c>
      <c r="B20" s="3" t="s">
        <v>14</v>
      </c>
      <c r="C20" s="3" t="s">
        <v>92</v>
      </c>
      <c r="D20" s="3" t="s">
        <v>30</v>
      </c>
      <c r="E20" s="3" t="s">
        <v>108</v>
      </c>
      <c r="F20" s="3" t="s">
        <v>14</v>
      </c>
      <c r="G20" s="3" t="s">
        <v>14</v>
      </c>
      <c r="H20" s="3" t="s">
        <v>11</v>
      </c>
    </row>
    <row r="21" ht="14.25" customHeight="1">
      <c r="A21" s="5" t="s">
        <v>27</v>
      </c>
      <c r="B21" s="3" t="s">
        <v>14</v>
      </c>
      <c r="D21" s="3" t="s">
        <v>7</v>
      </c>
      <c r="E21" s="3" t="s">
        <v>42</v>
      </c>
      <c r="F21" s="3" t="s">
        <v>14</v>
      </c>
      <c r="G21" s="3" t="s">
        <v>14</v>
      </c>
      <c r="H21" s="3" t="s">
        <v>11</v>
      </c>
    </row>
    <row r="22" ht="14.25" customHeight="1">
      <c r="A22" s="5" t="s">
        <v>27</v>
      </c>
      <c r="B22" s="3" t="s">
        <v>14</v>
      </c>
      <c r="D22" s="3" t="s">
        <v>109</v>
      </c>
      <c r="E22" s="3" t="s">
        <v>110</v>
      </c>
      <c r="F22" s="3" t="s">
        <v>10</v>
      </c>
      <c r="G22" s="3" t="s">
        <v>10</v>
      </c>
      <c r="H22" s="3" t="s">
        <v>11</v>
      </c>
    </row>
    <row r="23" ht="14.25" customHeight="1">
      <c r="A23" s="5" t="s">
        <v>27</v>
      </c>
      <c r="B23" s="3" t="s">
        <v>14</v>
      </c>
      <c r="C23" s="3" t="s">
        <v>96</v>
      </c>
      <c r="D23" s="3" t="s">
        <v>72</v>
      </c>
      <c r="E23" s="3" t="s">
        <v>22</v>
      </c>
      <c r="F23" s="3" t="s">
        <v>10</v>
      </c>
      <c r="G23" s="3" t="s">
        <v>14</v>
      </c>
      <c r="H23" s="3" t="s">
        <v>11</v>
      </c>
    </row>
    <row r="24" ht="14.25" customHeight="1">
      <c r="A24" s="5" t="s">
        <v>27</v>
      </c>
      <c r="B24" s="4" t="s">
        <v>14</v>
      </c>
      <c r="C24" s="4" t="s">
        <v>99</v>
      </c>
      <c r="D24" s="4" t="s">
        <v>62</v>
      </c>
      <c r="E24" s="4" t="s">
        <v>100</v>
      </c>
      <c r="F24" s="4" t="s">
        <v>14</v>
      </c>
      <c r="G24" s="4" t="s">
        <v>14</v>
      </c>
      <c r="H24" s="3" t="s">
        <v>11</v>
      </c>
    </row>
    <row r="25" ht="14.25" customHeight="1">
      <c r="A25" s="3" t="s">
        <v>41</v>
      </c>
      <c r="B25" s="3" t="s">
        <v>14</v>
      </c>
      <c r="C25" s="3" t="s">
        <v>92</v>
      </c>
      <c r="D25" s="3" t="s">
        <v>68</v>
      </c>
      <c r="E25" s="3" t="s">
        <v>13</v>
      </c>
      <c r="F25" s="3" t="s">
        <v>10</v>
      </c>
      <c r="G25" s="3" t="s">
        <v>14</v>
      </c>
      <c r="H25" s="3" t="s">
        <v>11</v>
      </c>
    </row>
    <row r="26" ht="14.25" customHeight="1">
      <c r="A26" s="3" t="s">
        <v>41</v>
      </c>
      <c r="B26" s="3" t="s">
        <v>14</v>
      </c>
      <c r="C26" s="3" t="s">
        <v>92</v>
      </c>
      <c r="D26" s="3" t="s">
        <v>69</v>
      </c>
      <c r="E26" s="3" t="s">
        <v>111</v>
      </c>
      <c r="F26" s="3" t="s">
        <v>10</v>
      </c>
      <c r="G26" s="3" t="s">
        <v>14</v>
      </c>
      <c r="H26" s="3" t="s">
        <v>11</v>
      </c>
    </row>
    <row r="27" ht="14.25" customHeight="1">
      <c r="A27" s="3" t="s">
        <v>41</v>
      </c>
      <c r="B27" s="3" t="s">
        <v>14</v>
      </c>
      <c r="D27" s="3" t="s">
        <v>64</v>
      </c>
      <c r="E27" s="3" t="s">
        <v>112</v>
      </c>
      <c r="F27" s="3" t="s">
        <v>14</v>
      </c>
      <c r="G27" s="3" t="s">
        <v>14</v>
      </c>
      <c r="H27" s="3" t="s">
        <v>11</v>
      </c>
    </row>
    <row r="28" ht="14.25" customHeight="1">
      <c r="A28" s="3" t="s">
        <v>41</v>
      </c>
      <c r="B28" s="3" t="s">
        <v>14</v>
      </c>
      <c r="D28" s="3" t="s">
        <v>65</v>
      </c>
      <c r="E28" s="3" t="s">
        <v>51</v>
      </c>
      <c r="F28" s="3" t="s">
        <v>10</v>
      </c>
      <c r="G28" s="3" t="s">
        <v>14</v>
      </c>
      <c r="H28" s="3" t="s">
        <v>11</v>
      </c>
    </row>
    <row r="29" ht="14.25" customHeight="1">
      <c r="A29" s="3" t="s">
        <v>41</v>
      </c>
      <c r="B29" s="3" t="s">
        <v>14</v>
      </c>
      <c r="D29" s="3" t="s">
        <v>66</v>
      </c>
      <c r="E29" s="3" t="s">
        <v>113</v>
      </c>
      <c r="F29" s="3" t="s">
        <v>10</v>
      </c>
      <c r="G29" s="3" t="s">
        <v>14</v>
      </c>
      <c r="H29" s="3" t="s">
        <v>11</v>
      </c>
    </row>
    <row r="30" ht="14.25" customHeight="1">
      <c r="A30" s="3" t="s">
        <v>41</v>
      </c>
      <c r="B30" s="3" t="s">
        <v>14</v>
      </c>
      <c r="D30" s="3" t="s">
        <v>30</v>
      </c>
      <c r="E30" s="3" t="s">
        <v>31</v>
      </c>
      <c r="F30" s="3" t="s">
        <v>10</v>
      </c>
      <c r="G30" s="3" t="s">
        <v>14</v>
      </c>
      <c r="H30" s="3" t="s">
        <v>11</v>
      </c>
    </row>
    <row r="31" ht="14.25" customHeight="1">
      <c r="A31" s="3" t="s">
        <v>41</v>
      </c>
      <c r="B31" s="3" t="s">
        <v>14</v>
      </c>
      <c r="D31" s="3" t="s">
        <v>67</v>
      </c>
      <c r="E31" s="3" t="s">
        <v>114</v>
      </c>
      <c r="F31" s="3" t="s">
        <v>10</v>
      </c>
      <c r="G31" s="3" t="s">
        <v>14</v>
      </c>
      <c r="H31" s="3" t="s">
        <v>11</v>
      </c>
    </row>
    <row r="32" ht="14.25" customHeight="1">
      <c r="A32" s="3" t="s">
        <v>41</v>
      </c>
      <c r="B32" s="3" t="s">
        <v>14</v>
      </c>
      <c r="D32" s="3" t="s">
        <v>115</v>
      </c>
      <c r="E32" s="3" t="s">
        <v>116</v>
      </c>
      <c r="F32" s="3" t="s">
        <v>10</v>
      </c>
      <c r="G32" s="3" t="s">
        <v>14</v>
      </c>
      <c r="H32" s="3" t="s">
        <v>11</v>
      </c>
    </row>
    <row r="33" ht="14.25" customHeight="1">
      <c r="A33" s="3" t="s">
        <v>41</v>
      </c>
      <c r="B33" s="3" t="s">
        <v>14</v>
      </c>
      <c r="C33" s="3" t="s">
        <v>96</v>
      </c>
      <c r="D33" s="3" t="s">
        <v>72</v>
      </c>
      <c r="E33" s="3" t="s">
        <v>22</v>
      </c>
      <c r="F33" s="3" t="s">
        <v>10</v>
      </c>
      <c r="G33" s="3" t="s">
        <v>14</v>
      </c>
      <c r="H33" s="3" t="s">
        <v>11</v>
      </c>
    </row>
    <row r="34" ht="14.25" customHeight="1">
      <c r="A34" s="3" t="s">
        <v>51</v>
      </c>
      <c r="B34" s="3" t="s">
        <v>14</v>
      </c>
      <c r="D34" s="3" t="s">
        <v>60</v>
      </c>
      <c r="F34" s="3" t="s">
        <v>14</v>
      </c>
      <c r="G34" s="3" t="s">
        <v>14</v>
      </c>
      <c r="H34" s="3" t="s">
        <v>11</v>
      </c>
    </row>
    <row r="35" ht="14.25" customHeight="1">
      <c r="A35" s="3" t="s">
        <v>51</v>
      </c>
      <c r="B35" s="3" t="s">
        <v>14</v>
      </c>
      <c r="D35" s="3" t="s">
        <v>64</v>
      </c>
      <c r="E35" s="3" t="s">
        <v>112</v>
      </c>
      <c r="F35" s="3" t="s">
        <v>10</v>
      </c>
      <c r="G35" s="3" t="s">
        <v>14</v>
      </c>
      <c r="H35" s="3" t="s">
        <v>11</v>
      </c>
    </row>
    <row r="36" ht="14.25" customHeight="1">
      <c r="A36" s="3" t="s">
        <v>51</v>
      </c>
      <c r="B36" s="3" t="s">
        <v>14</v>
      </c>
      <c r="D36" s="3" t="s">
        <v>70</v>
      </c>
      <c r="E36" s="3" t="s">
        <v>117</v>
      </c>
      <c r="F36" s="3" t="s">
        <v>10</v>
      </c>
      <c r="G36" s="3" t="s">
        <v>14</v>
      </c>
      <c r="H36" s="3" t="s">
        <v>26</v>
      </c>
    </row>
    <row r="37" ht="14.25" customHeight="1">
      <c r="A37" s="3" t="s">
        <v>51</v>
      </c>
      <c r="B37" s="3" t="s">
        <v>14</v>
      </c>
      <c r="C37" s="3" t="s">
        <v>96</v>
      </c>
      <c r="D37" s="3" t="s">
        <v>72</v>
      </c>
      <c r="E37" s="3" t="s">
        <v>22</v>
      </c>
      <c r="F37" s="3" t="s">
        <v>10</v>
      </c>
      <c r="G37" s="3" t="s">
        <v>14</v>
      </c>
      <c r="H37" s="3" t="s">
        <v>11</v>
      </c>
    </row>
    <row r="38" ht="14.25" customHeight="1">
      <c r="A38" s="3" t="s">
        <v>48</v>
      </c>
      <c r="B38" s="3" t="s">
        <v>14</v>
      </c>
      <c r="D38" s="3" t="s">
        <v>7</v>
      </c>
      <c r="E38" s="3" t="s">
        <v>118</v>
      </c>
      <c r="F38" s="3" t="s">
        <v>10</v>
      </c>
      <c r="G38" s="3" t="s">
        <v>14</v>
      </c>
      <c r="H38" s="3" t="s">
        <v>11</v>
      </c>
    </row>
    <row r="39" ht="14.25" customHeight="1">
      <c r="A39" s="3" t="s">
        <v>48</v>
      </c>
      <c r="B39" s="3" t="s">
        <v>14</v>
      </c>
      <c r="C39" s="3" t="s">
        <v>96</v>
      </c>
      <c r="D39" s="3" t="s">
        <v>72</v>
      </c>
      <c r="E39" s="3" t="s">
        <v>22</v>
      </c>
      <c r="F39" s="3" t="s">
        <v>10</v>
      </c>
      <c r="G39" s="3" t="s">
        <v>14</v>
      </c>
      <c r="H39" s="3" t="s">
        <v>11</v>
      </c>
    </row>
    <row r="40" ht="14.25" customHeight="1">
      <c r="A40" s="3" t="s">
        <v>49</v>
      </c>
      <c r="B40" s="3" t="s">
        <v>14</v>
      </c>
      <c r="D40" s="3" t="s">
        <v>7</v>
      </c>
      <c r="E40" s="3" t="s">
        <v>107</v>
      </c>
      <c r="F40" s="3" t="s">
        <v>10</v>
      </c>
      <c r="G40" s="3" t="s">
        <v>14</v>
      </c>
      <c r="H40" s="3" t="s">
        <v>11</v>
      </c>
    </row>
    <row r="41" ht="14.25" customHeight="1">
      <c r="A41" s="3" t="s">
        <v>49</v>
      </c>
      <c r="B41" s="3" t="s">
        <v>14</v>
      </c>
      <c r="C41" s="3" t="s">
        <v>96</v>
      </c>
      <c r="D41" s="3" t="s">
        <v>72</v>
      </c>
      <c r="E41" s="3" t="s">
        <v>22</v>
      </c>
      <c r="F41" s="3" t="s">
        <v>10</v>
      </c>
      <c r="G41" s="3" t="s">
        <v>14</v>
      </c>
      <c r="H41" s="3" t="s">
        <v>11</v>
      </c>
    </row>
    <row r="42" ht="14.25" customHeight="1">
      <c r="A42" s="3" t="s">
        <v>50</v>
      </c>
      <c r="B42" s="3" t="s">
        <v>14</v>
      </c>
      <c r="D42" s="3" t="s">
        <v>7</v>
      </c>
      <c r="E42" s="3" t="s">
        <v>119</v>
      </c>
      <c r="F42" s="3" t="s">
        <v>10</v>
      </c>
      <c r="G42" s="3" t="s">
        <v>14</v>
      </c>
      <c r="H42" s="3" t="s">
        <v>11</v>
      </c>
    </row>
    <row r="43" ht="14.25" customHeight="1">
      <c r="A43" s="3" t="s">
        <v>50</v>
      </c>
      <c r="B43" s="3" t="s">
        <v>14</v>
      </c>
      <c r="C43" s="3" t="s">
        <v>96</v>
      </c>
      <c r="D43" s="3" t="s">
        <v>72</v>
      </c>
      <c r="E43" s="3" t="s">
        <v>22</v>
      </c>
      <c r="F43" s="3" t="s">
        <v>10</v>
      </c>
      <c r="G43" s="3" t="s">
        <v>14</v>
      </c>
      <c r="H43" s="3" t="s">
        <v>11</v>
      </c>
    </row>
    <row r="44" ht="14.25" customHeight="1">
      <c r="A44" s="3" t="s">
        <v>52</v>
      </c>
      <c r="B44" s="3" t="s">
        <v>14</v>
      </c>
      <c r="D44" s="3" t="s">
        <v>60</v>
      </c>
      <c r="F44" s="3" t="s">
        <v>14</v>
      </c>
      <c r="G44" s="3" t="s">
        <v>14</v>
      </c>
      <c r="H44" s="3" t="s">
        <v>11</v>
      </c>
    </row>
    <row r="45" ht="14.25" customHeight="1">
      <c r="A45" s="3" t="s">
        <v>52</v>
      </c>
      <c r="B45" s="3" t="s">
        <v>14</v>
      </c>
      <c r="D45" s="3" t="s">
        <v>7</v>
      </c>
      <c r="E45" s="3" t="s">
        <v>42</v>
      </c>
      <c r="F45" s="3" t="s">
        <v>10</v>
      </c>
      <c r="G45" s="3" t="s">
        <v>14</v>
      </c>
      <c r="H45" s="3" t="s">
        <v>11</v>
      </c>
    </row>
    <row r="46" ht="14.25" customHeight="1">
      <c r="A46" s="3" t="s">
        <v>52</v>
      </c>
      <c r="B46" s="3" t="s">
        <v>14</v>
      </c>
      <c r="C46" s="3" t="s">
        <v>96</v>
      </c>
      <c r="D46" s="3" t="s">
        <v>72</v>
      </c>
      <c r="E46" s="3" t="s">
        <v>22</v>
      </c>
      <c r="F46" s="3" t="s">
        <v>14</v>
      </c>
      <c r="G46" s="3" t="s">
        <v>14</v>
      </c>
      <c r="H46" s="3" t="s">
        <v>11</v>
      </c>
    </row>
    <row r="47" ht="14.25" customHeight="1">
      <c r="A47" s="3" t="s">
        <v>52</v>
      </c>
      <c r="B47" s="3" t="s">
        <v>14</v>
      </c>
      <c r="C47" s="3" t="s">
        <v>96</v>
      </c>
      <c r="D47" s="3" t="s">
        <v>85</v>
      </c>
      <c r="E47" s="3" t="s">
        <v>120</v>
      </c>
      <c r="F47" s="3" t="s">
        <v>14</v>
      </c>
      <c r="G47" s="3" t="s">
        <v>14</v>
      </c>
      <c r="H47" s="3" t="s">
        <v>11</v>
      </c>
    </row>
    <row r="48" ht="14.25" customHeight="1">
      <c r="A48" s="3" t="s">
        <v>52</v>
      </c>
      <c r="B48" s="3" t="s">
        <v>14</v>
      </c>
      <c r="C48" s="3" t="s">
        <v>96</v>
      </c>
      <c r="D48" s="3" t="s">
        <v>74</v>
      </c>
      <c r="E48" s="3" t="s">
        <v>97</v>
      </c>
      <c r="F48" s="3" t="s">
        <v>14</v>
      </c>
      <c r="G48" s="3" t="s">
        <v>14</v>
      </c>
      <c r="H48" s="3" t="s">
        <v>11</v>
      </c>
    </row>
    <row r="49" ht="14.25" customHeight="1">
      <c r="A49" s="3" t="s">
        <v>52</v>
      </c>
      <c r="B49" s="3" t="s">
        <v>14</v>
      </c>
      <c r="C49" s="3" t="s">
        <v>121</v>
      </c>
      <c r="D49" s="3" t="s">
        <v>83</v>
      </c>
      <c r="F49" s="3" t="s">
        <v>14</v>
      </c>
      <c r="G49" s="3" t="s">
        <v>14</v>
      </c>
      <c r="H49" s="3" t="s">
        <v>11</v>
      </c>
    </row>
    <row r="50" ht="14.25" customHeight="1">
      <c r="A50" s="3" t="s">
        <v>52</v>
      </c>
      <c r="B50" s="3" t="s">
        <v>14</v>
      </c>
      <c r="D50" s="3" t="s">
        <v>78</v>
      </c>
      <c r="E50" s="3" t="s">
        <v>122</v>
      </c>
      <c r="F50" s="3" t="s">
        <v>10</v>
      </c>
      <c r="G50" s="3" t="s">
        <v>14</v>
      </c>
      <c r="H50" s="3" t="s">
        <v>11</v>
      </c>
    </row>
    <row r="51" ht="14.25" customHeight="1">
      <c r="A51" s="3" t="s">
        <v>52</v>
      </c>
      <c r="B51" s="3" t="s">
        <v>14</v>
      </c>
      <c r="D51" s="3" t="s">
        <v>79</v>
      </c>
      <c r="E51" s="3" t="s">
        <v>123</v>
      </c>
      <c r="F51" s="3" t="s">
        <v>10</v>
      </c>
      <c r="G51" s="3" t="s">
        <v>14</v>
      </c>
      <c r="H51" s="3" t="s">
        <v>11</v>
      </c>
    </row>
    <row r="52" ht="14.25" customHeight="1">
      <c r="A52" s="3" t="s">
        <v>52</v>
      </c>
      <c r="B52" s="3" t="s">
        <v>14</v>
      </c>
      <c r="D52" s="3" t="s">
        <v>80</v>
      </c>
      <c r="E52" s="3" t="s">
        <v>124</v>
      </c>
      <c r="F52" s="3" t="s">
        <v>10</v>
      </c>
      <c r="G52" s="3" t="s">
        <v>14</v>
      </c>
      <c r="H52" s="3" t="s">
        <v>11</v>
      </c>
    </row>
    <row r="53" ht="14.25" customHeight="1">
      <c r="A53" s="3" t="s">
        <v>52</v>
      </c>
      <c r="B53" s="3" t="s">
        <v>14</v>
      </c>
      <c r="D53" s="3" t="s">
        <v>81</v>
      </c>
      <c r="E53" s="4" t="s">
        <v>125</v>
      </c>
      <c r="F53" s="3" t="s">
        <v>10</v>
      </c>
      <c r="G53" s="3" t="s">
        <v>14</v>
      </c>
      <c r="H53" s="3" t="s">
        <v>11</v>
      </c>
    </row>
    <row r="54" ht="14.25" customHeight="1">
      <c r="A54" s="3" t="s">
        <v>54</v>
      </c>
      <c r="B54" s="3" t="s">
        <v>14</v>
      </c>
      <c r="D54" s="3" t="s">
        <v>7</v>
      </c>
      <c r="E54" s="3" t="s">
        <v>42</v>
      </c>
      <c r="F54" s="3" t="s">
        <v>10</v>
      </c>
      <c r="G54" s="3" t="s">
        <v>14</v>
      </c>
      <c r="H54" s="3" t="s">
        <v>11</v>
      </c>
    </row>
    <row r="55" ht="14.25" customHeight="1">
      <c r="A55" s="3" t="s">
        <v>54</v>
      </c>
      <c r="B55" s="3" t="s">
        <v>14</v>
      </c>
      <c r="C55" s="3" t="s">
        <v>96</v>
      </c>
      <c r="D55" s="3" t="s">
        <v>72</v>
      </c>
      <c r="E55" s="3" t="s">
        <v>22</v>
      </c>
      <c r="F55" s="3" t="s">
        <v>10</v>
      </c>
      <c r="G55" s="3" t="s">
        <v>14</v>
      </c>
      <c r="H55" s="3" t="s">
        <v>11</v>
      </c>
    </row>
    <row r="56" ht="14.25" customHeight="1">
      <c r="A56" s="3" t="s">
        <v>54</v>
      </c>
      <c r="B56" s="3" t="s">
        <v>14</v>
      </c>
      <c r="C56" s="3" t="s">
        <v>96</v>
      </c>
      <c r="D56" s="3" t="s">
        <v>85</v>
      </c>
      <c r="E56" s="3" t="s">
        <v>22</v>
      </c>
      <c r="F56" s="3" t="s">
        <v>10</v>
      </c>
      <c r="G56" s="3" t="s">
        <v>14</v>
      </c>
      <c r="H56" s="3" t="s">
        <v>11</v>
      </c>
    </row>
    <row r="57" ht="14.25" customHeight="1">
      <c r="A57" s="3" t="s">
        <v>54</v>
      </c>
      <c r="B57" s="3" t="s">
        <v>14</v>
      </c>
      <c r="C57" s="3" t="s">
        <v>96</v>
      </c>
      <c r="D57" s="3" t="s">
        <v>74</v>
      </c>
      <c r="E57" s="3" t="s">
        <v>22</v>
      </c>
      <c r="F57" s="3" t="s">
        <v>10</v>
      </c>
      <c r="G57" s="3" t="s">
        <v>14</v>
      </c>
      <c r="H57" s="3" t="s">
        <v>11</v>
      </c>
    </row>
    <row r="58" ht="14.25" customHeight="1">
      <c r="A58" s="3" t="s">
        <v>54</v>
      </c>
      <c r="B58" s="3" t="s">
        <v>14</v>
      </c>
      <c r="C58" s="3" t="s">
        <v>121</v>
      </c>
      <c r="D58" s="3" t="s">
        <v>83</v>
      </c>
      <c r="F58" s="3" t="s">
        <v>14</v>
      </c>
      <c r="G58" s="3" t="s">
        <v>14</v>
      </c>
      <c r="H58" s="3" t="s">
        <v>11</v>
      </c>
    </row>
    <row r="59" ht="14.25" customHeight="1">
      <c r="A59" s="3" t="s">
        <v>53</v>
      </c>
      <c r="B59" s="3" t="s">
        <v>14</v>
      </c>
      <c r="D59" s="3" t="s">
        <v>7</v>
      </c>
      <c r="E59" s="3" t="s">
        <v>42</v>
      </c>
      <c r="F59" s="3" t="s">
        <v>10</v>
      </c>
      <c r="G59" s="3" t="s">
        <v>14</v>
      </c>
      <c r="H59" s="3" t="s">
        <v>11</v>
      </c>
    </row>
    <row r="60" ht="14.25" customHeight="1">
      <c r="A60" s="3" t="s">
        <v>53</v>
      </c>
      <c r="B60" s="3" t="s">
        <v>14</v>
      </c>
      <c r="C60" s="3" t="s">
        <v>96</v>
      </c>
      <c r="D60" s="3" t="s">
        <v>72</v>
      </c>
      <c r="E60" s="3" t="s">
        <v>22</v>
      </c>
      <c r="F60" s="3" t="s">
        <v>10</v>
      </c>
      <c r="G60" s="3" t="s">
        <v>14</v>
      </c>
      <c r="H60" s="3" t="s">
        <v>11</v>
      </c>
    </row>
    <row r="61" ht="14.25" customHeight="1">
      <c r="A61" s="3" t="s">
        <v>53</v>
      </c>
      <c r="B61" s="3" t="s">
        <v>14</v>
      </c>
      <c r="C61" s="3" t="s">
        <v>96</v>
      </c>
      <c r="D61" s="3" t="s">
        <v>85</v>
      </c>
      <c r="E61" s="3" t="s">
        <v>22</v>
      </c>
      <c r="F61" s="3" t="s">
        <v>10</v>
      </c>
      <c r="G61" s="3" t="s">
        <v>14</v>
      </c>
      <c r="H61" s="3" t="s">
        <v>11</v>
      </c>
    </row>
    <row r="62" ht="14.25" customHeight="1">
      <c r="A62" s="3" t="s">
        <v>53</v>
      </c>
      <c r="B62" s="3" t="s">
        <v>14</v>
      </c>
      <c r="C62" s="3" t="s">
        <v>96</v>
      </c>
      <c r="D62" s="3" t="s">
        <v>74</v>
      </c>
      <c r="E62" s="3" t="s">
        <v>22</v>
      </c>
      <c r="F62" s="3" t="s">
        <v>10</v>
      </c>
      <c r="G62" s="3" t="s">
        <v>14</v>
      </c>
      <c r="H62" s="3" t="s">
        <v>11</v>
      </c>
    </row>
    <row r="63" ht="14.25" customHeight="1">
      <c r="A63" s="3" t="s">
        <v>53</v>
      </c>
      <c r="B63" s="3" t="s">
        <v>14</v>
      </c>
      <c r="C63" s="3" t="s">
        <v>121</v>
      </c>
      <c r="D63" s="3" t="s">
        <v>83</v>
      </c>
      <c r="F63" s="3" t="s">
        <v>14</v>
      </c>
      <c r="G63" s="3" t="s">
        <v>14</v>
      </c>
      <c r="H63" s="3" t="s">
        <v>11</v>
      </c>
    </row>
    <row r="64" ht="14.25" customHeight="1">
      <c r="A64" s="4" t="s">
        <v>39</v>
      </c>
      <c r="B64" s="3" t="s">
        <v>14</v>
      </c>
      <c r="D64" s="3" t="s">
        <v>60</v>
      </c>
      <c r="F64" s="3" t="s">
        <v>14</v>
      </c>
      <c r="G64" s="3" t="s">
        <v>14</v>
      </c>
      <c r="H64" s="3" t="s">
        <v>11</v>
      </c>
    </row>
    <row r="65" ht="14.25" customHeight="1">
      <c r="A65" s="4" t="s">
        <v>39</v>
      </c>
      <c r="B65" s="3" t="s">
        <v>14</v>
      </c>
      <c r="D65" s="3" t="s">
        <v>81</v>
      </c>
      <c r="E65" s="3" t="s">
        <v>126</v>
      </c>
      <c r="F65" s="3" t="s">
        <v>10</v>
      </c>
      <c r="G65" s="3" t="s">
        <v>14</v>
      </c>
      <c r="H65" s="3" t="s">
        <v>11</v>
      </c>
    </row>
    <row r="66" ht="14.25" customHeight="1">
      <c r="A66" s="4" t="s">
        <v>39</v>
      </c>
      <c r="B66" s="3" t="s">
        <v>14</v>
      </c>
      <c r="D66" s="3" t="s">
        <v>80</v>
      </c>
      <c r="E66" s="3" t="s">
        <v>124</v>
      </c>
      <c r="F66" s="3" t="s">
        <v>10</v>
      </c>
      <c r="G66" s="3" t="s">
        <v>14</v>
      </c>
      <c r="H66" s="3" t="s">
        <v>11</v>
      </c>
    </row>
    <row r="67" ht="14.25" customHeight="1">
      <c r="A67" s="4" t="s">
        <v>39</v>
      </c>
      <c r="B67" s="3" t="s">
        <v>14</v>
      </c>
      <c r="D67" s="3" t="s">
        <v>78</v>
      </c>
      <c r="E67" s="3" t="s">
        <v>122</v>
      </c>
      <c r="F67" s="3" t="s">
        <v>10</v>
      </c>
      <c r="G67" s="3" t="s">
        <v>14</v>
      </c>
      <c r="H67" s="3" t="s">
        <v>11</v>
      </c>
    </row>
    <row r="68" ht="14.25" customHeight="1">
      <c r="A68" s="4" t="s">
        <v>39</v>
      </c>
      <c r="B68" s="3" t="s">
        <v>14</v>
      </c>
      <c r="D68" s="3" t="s">
        <v>79</v>
      </c>
      <c r="E68" s="3" t="s">
        <v>123</v>
      </c>
      <c r="F68" s="3" t="s">
        <v>10</v>
      </c>
      <c r="G68" s="3" t="s">
        <v>14</v>
      </c>
      <c r="H68" s="3" t="s">
        <v>11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5.75"/>
    <col customWidth="1" min="3" max="3" width="9.13"/>
    <col customWidth="1" min="4" max="4" width="9.63"/>
    <col customWidth="1" min="5" max="5" width="18.5"/>
    <col customWidth="1" min="6" max="6" width="32.75"/>
    <col customWidth="1" min="7" max="7" width="15.13"/>
    <col customWidth="1" min="8" max="8" width="12.63"/>
    <col customWidth="1" min="9" max="9" width="21.63"/>
    <col customWidth="1" min="10" max="10" width="24.5"/>
    <col customWidth="1" min="11" max="11" width="30.13"/>
    <col customWidth="1" min="12" max="12" width="19.38"/>
    <col customWidth="1" min="13" max="13" width="16.38"/>
    <col customWidth="1" min="14" max="14" width="16.75"/>
    <col customWidth="1" min="15" max="15" width="19.63"/>
    <col customWidth="1" min="16" max="16" width="18.13"/>
    <col customWidth="1" min="17" max="26" width="8.0"/>
  </cols>
  <sheetData>
    <row r="1" ht="14.25" customHeight="1">
      <c r="A1" s="1" t="s">
        <v>0</v>
      </c>
      <c r="B1" s="1" t="s">
        <v>127</v>
      </c>
      <c r="C1" s="1" t="s">
        <v>56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2</v>
      </c>
      <c r="J1" s="1" t="s">
        <v>133</v>
      </c>
      <c r="K1" s="1" t="s">
        <v>134</v>
      </c>
      <c r="L1" s="1" t="s">
        <v>135</v>
      </c>
      <c r="M1" s="1" t="s">
        <v>57</v>
      </c>
      <c r="N1" s="1" t="s">
        <v>58</v>
      </c>
      <c r="O1" s="1" t="s">
        <v>136</v>
      </c>
      <c r="P1" s="1" t="s">
        <v>137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2" t="s">
        <v>27</v>
      </c>
      <c r="B2" s="3" t="s">
        <v>106</v>
      </c>
      <c r="C2" s="3">
        <v>1.0</v>
      </c>
      <c r="D2" s="3">
        <v>1.0</v>
      </c>
      <c r="E2" s="3" t="s">
        <v>130</v>
      </c>
      <c r="F2" s="3" t="s">
        <v>138</v>
      </c>
      <c r="I2" s="3" t="s">
        <v>139</v>
      </c>
      <c r="J2" s="3" t="s">
        <v>14</v>
      </c>
      <c r="L2" s="3" t="s">
        <v>14</v>
      </c>
      <c r="O2" s="3" t="s">
        <v>140</v>
      </c>
    </row>
    <row r="3" ht="14.25" customHeight="1">
      <c r="A3" s="12" t="s">
        <v>27</v>
      </c>
      <c r="B3" s="3" t="s">
        <v>106</v>
      </c>
      <c r="C3" s="3">
        <v>2.0</v>
      </c>
      <c r="D3" s="3">
        <v>1.0</v>
      </c>
      <c r="E3" s="3" t="s">
        <v>130</v>
      </c>
      <c r="F3" s="3" t="s">
        <v>141</v>
      </c>
      <c r="I3" s="3" t="s">
        <v>142</v>
      </c>
      <c r="J3" s="3" t="s">
        <v>14</v>
      </c>
      <c r="L3" s="3" t="s">
        <v>14</v>
      </c>
      <c r="O3" s="3" t="s">
        <v>140</v>
      </c>
    </row>
    <row r="4" ht="14.25" customHeight="1">
      <c r="A4" s="12" t="s">
        <v>27</v>
      </c>
      <c r="B4" s="3" t="s">
        <v>106</v>
      </c>
      <c r="C4" s="3">
        <v>3.0</v>
      </c>
      <c r="D4" s="3">
        <v>1.0</v>
      </c>
      <c r="E4" s="3" t="s">
        <v>130</v>
      </c>
      <c r="F4" s="3" t="s">
        <v>143</v>
      </c>
      <c r="I4" s="3" t="s">
        <v>107</v>
      </c>
      <c r="J4" s="3" t="s">
        <v>14</v>
      </c>
      <c r="K4" s="3" t="s">
        <v>144</v>
      </c>
      <c r="L4" s="3" t="s">
        <v>14</v>
      </c>
      <c r="O4" s="3" t="s">
        <v>140</v>
      </c>
    </row>
    <row r="5" ht="14.25" customHeight="1">
      <c r="A5" s="12" t="s">
        <v>27</v>
      </c>
      <c r="B5" s="3" t="s">
        <v>60</v>
      </c>
      <c r="C5" s="3">
        <v>1.0</v>
      </c>
      <c r="D5" s="3">
        <v>1.0</v>
      </c>
      <c r="E5" s="3" t="s">
        <v>130</v>
      </c>
      <c r="F5" s="3" t="s">
        <v>145</v>
      </c>
      <c r="J5" s="3" t="s">
        <v>14</v>
      </c>
      <c r="K5" s="3" t="s">
        <v>60</v>
      </c>
      <c r="L5" s="3" t="s">
        <v>14</v>
      </c>
      <c r="N5" s="3" t="s">
        <v>146</v>
      </c>
      <c r="O5" s="3" t="s">
        <v>140</v>
      </c>
    </row>
    <row r="6" ht="14.25" customHeight="1">
      <c r="A6" s="12" t="s">
        <v>27</v>
      </c>
      <c r="B6" s="3" t="s">
        <v>7</v>
      </c>
      <c r="C6" s="3">
        <v>1.0</v>
      </c>
      <c r="D6" s="3">
        <v>2.0</v>
      </c>
      <c r="E6" s="3" t="s">
        <v>130</v>
      </c>
      <c r="F6" s="3" t="s">
        <v>147</v>
      </c>
      <c r="I6" s="3" t="s">
        <v>148</v>
      </c>
      <c r="J6" s="3" t="s">
        <v>10</v>
      </c>
      <c r="L6" s="3" t="s">
        <v>14</v>
      </c>
      <c r="N6" s="3" t="s">
        <v>149</v>
      </c>
      <c r="O6" s="3" t="s">
        <v>150</v>
      </c>
    </row>
    <row r="7" ht="14.25" customHeight="1">
      <c r="A7" s="12" t="s">
        <v>27</v>
      </c>
      <c r="B7" s="3" t="s">
        <v>7</v>
      </c>
      <c r="C7" s="3">
        <v>1.0</v>
      </c>
      <c r="D7" s="3">
        <v>2.0</v>
      </c>
      <c r="E7" s="3" t="s">
        <v>130</v>
      </c>
      <c r="F7" s="3" t="s">
        <v>138</v>
      </c>
      <c r="I7" s="3" t="s">
        <v>139</v>
      </c>
      <c r="J7" s="3" t="s">
        <v>10</v>
      </c>
      <c r="L7" s="3" t="s">
        <v>14</v>
      </c>
      <c r="N7" s="3" t="s">
        <v>149</v>
      </c>
      <c r="O7" s="3" t="s">
        <v>150</v>
      </c>
    </row>
    <row r="8" ht="14.25" customHeight="1">
      <c r="A8" s="12" t="s">
        <v>27</v>
      </c>
      <c r="B8" s="3" t="s">
        <v>7</v>
      </c>
      <c r="C8" s="3">
        <v>1.0</v>
      </c>
      <c r="D8" s="3">
        <v>2.0</v>
      </c>
      <c r="E8" s="3" t="s">
        <v>130</v>
      </c>
      <c r="F8" s="3" t="s">
        <v>141</v>
      </c>
      <c r="I8" s="3" t="s">
        <v>151</v>
      </c>
      <c r="J8" s="3" t="s">
        <v>10</v>
      </c>
      <c r="L8" s="3" t="s">
        <v>14</v>
      </c>
      <c r="N8" s="3" t="s">
        <v>149</v>
      </c>
      <c r="O8" s="3" t="s">
        <v>150</v>
      </c>
    </row>
    <row r="9" ht="14.25" customHeight="1">
      <c r="A9" s="12" t="s">
        <v>27</v>
      </c>
      <c r="B9" s="3" t="s">
        <v>7</v>
      </c>
      <c r="C9" s="3">
        <v>1.0</v>
      </c>
      <c r="D9" s="3">
        <v>2.0</v>
      </c>
      <c r="E9" s="3" t="s">
        <v>130</v>
      </c>
      <c r="F9" s="3" t="s">
        <v>152</v>
      </c>
      <c r="I9" s="3" t="s">
        <v>153</v>
      </c>
      <c r="J9" s="3" t="s">
        <v>10</v>
      </c>
      <c r="K9" s="3" t="s">
        <v>154</v>
      </c>
      <c r="L9" s="3" t="s">
        <v>14</v>
      </c>
      <c r="N9" s="3" t="s">
        <v>149</v>
      </c>
      <c r="O9" s="3" t="s">
        <v>150</v>
      </c>
    </row>
    <row r="10" ht="14.25" customHeight="1">
      <c r="A10" s="12" t="s">
        <v>27</v>
      </c>
      <c r="B10" s="3" t="s">
        <v>7</v>
      </c>
      <c r="C10" s="3">
        <v>1.0</v>
      </c>
      <c r="D10" s="3">
        <v>2.0</v>
      </c>
      <c r="E10" s="3" t="s">
        <v>130</v>
      </c>
      <c r="F10" s="3" t="s">
        <v>155</v>
      </c>
      <c r="I10" s="4" t="s">
        <v>156</v>
      </c>
      <c r="J10" s="3" t="s">
        <v>10</v>
      </c>
      <c r="K10" s="3" t="s">
        <v>154</v>
      </c>
      <c r="L10" s="3" t="s">
        <v>14</v>
      </c>
      <c r="N10" s="3" t="s">
        <v>149</v>
      </c>
      <c r="O10" s="3" t="s">
        <v>150</v>
      </c>
    </row>
    <row r="11" ht="14.25" customHeight="1">
      <c r="A11" s="12" t="s">
        <v>27</v>
      </c>
      <c r="B11" s="3" t="s">
        <v>7</v>
      </c>
      <c r="C11" s="3">
        <v>1.0</v>
      </c>
      <c r="D11" s="3">
        <v>3.0</v>
      </c>
      <c r="E11" s="3" t="s">
        <v>130</v>
      </c>
      <c r="F11" s="3" t="s">
        <v>157</v>
      </c>
      <c r="I11" s="3" t="s">
        <v>158</v>
      </c>
      <c r="J11" s="3" t="s">
        <v>10</v>
      </c>
      <c r="K11" s="3" t="s">
        <v>159</v>
      </c>
      <c r="L11" s="3" t="s">
        <v>14</v>
      </c>
      <c r="N11" s="3" t="s">
        <v>149</v>
      </c>
      <c r="O11" s="3" t="s">
        <v>150</v>
      </c>
    </row>
    <row r="12" ht="14.25" customHeight="1">
      <c r="A12" s="12" t="s">
        <v>27</v>
      </c>
      <c r="B12" s="3" t="s">
        <v>7</v>
      </c>
      <c r="C12" s="3">
        <v>1.0</v>
      </c>
      <c r="D12" s="3">
        <v>3.0</v>
      </c>
      <c r="E12" s="3" t="s">
        <v>130</v>
      </c>
      <c r="F12" s="3" t="s">
        <v>160</v>
      </c>
      <c r="I12" s="3" t="s">
        <v>161</v>
      </c>
      <c r="J12" s="3" t="s">
        <v>10</v>
      </c>
      <c r="K12" s="3" t="s">
        <v>162</v>
      </c>
      <c r="L12" s="3" t="s">
        <v>14</v>
      </c>
      <c r="N12" s="3" t="s">
        <v>149</v>
      </c>
      <c r="O12" s="3" t="s">
        <v>150</v>
      </c>
    </row>
    <row r="13" ht="14.25" customHeight="1">
      <c r="A13" s="12" t="s">
        <v>27</v>
      </c>
      <c r="B13" s="3" t="s">
        <v>7</v>
      </c>
      <c r="C13" s="3">
        <v>1.0</v>
      </c>
      <c r="D13" s="3">
        <v>3.0</v>
      </c>
      <c r="E13" s="3" t="s">
        <v>130</v>
      </c>
      <c r="F13" s="3" t="s">
        <v>163</v>
      </c>
      <c r="I13" s="3" t="s">
        <v>164</v>
      </c>
      <c r="J13" s="3" t="s">
        <v>10</v>
      </c>
      <c r="L13" s="3" t="s">
        <v>14</v>
      </c>
      <c r="N13" s="3" t="s">
        <v>149</v>
      </c>
      <c r="O13" s="3" t="s">
        <v>150</v>
      </c>
    </row>
    <row r="14" ht="14.25" customHeight="1">
      <c r="A14" s="12" t="s">
        <v>27</v>
      </c>
      <c r="B14" s="3" t="s">
        <v>7</v>
      </c>
      <c r="C14" s="3">
        <v>1.0</v>
      </c>
      <c r="D14" s="3">
        <v>3.0</v>
      </c>
      <c r="E14" s="3" t="s">
        <v>130</v>
      </c>
      <c r="F14" s="3" t="s">
        <v>165</v>
      </c>
      <c r="I14" s="3" t="s">
        <v>166</v>
      </c>
      <c r="J14" s="3" t="s">
        <v>10</v>
      </c>
      <c r="L14" s="3" t="s">
        <v>14</v>
      </c>
      <c r="N14" s="3" t="s">
        <v>149</v>
      </c>
      <c r="O14" s="3" t="s">
        <v>150</v>
      </c>
    </row>
    <row r="15" ht="14.25" customHeight="1">
      <c r="A15" s="12" t="s">
        <v>27</v>
      </c>
      <c r="B15" s="3" t="s">
        <v>7</v>
      </c>
      <c r="C15" s="3">
        <v>1.0</v>
      </c>
      <c r="D15" s="3">
        <v>3.0</v>
      </c>
      <c r="E15" s="3" t="s">
        <v>130</v>
      </c>
      <c r="F15" s="3" t="s">
        <v>167</v>
      </c>
      <c r="I15" s="3" t="s">
        <v>168</v>
      </c>
      <c r="J15" s="3" t="s">
        <v>10</v>
      </c>
      <c r="L15" s="3" t="s">
        <v>14</v>
      </c>
      <c r="N15" s="3" t="s">
        <v>149</v>
      </c>
      <c r="O15" s="3" t="s">
        <v>150</v>
      </c>
    </row>
    <row r="16" ht="14.25" customHeight="1">
      <c r="A16" s="12" t="s">
        <v>27</v>
      </c>
      <c r="B16" s="3" t="s">
        <v>109</v>
      </c>
      <c r="C16" s="3">
        <v>1.0</v>
      </c>
      <c r="D16" s="3">
        <v>1.0</v>
      </c>
      <c r="E16" s="3" t="s">
        <v>169</v>
      </c>
      <c r="F16" s="3" t="s">
        <v>170</v>
      </c>
      <c r="G16" s="3" t="s">
        <v>171</v>
      </c>
      <c r="H16" s="3" t="s">
        <v>172</v>
      </c>
      <c r="J16" s="3" t="s">
        <v>14</v>
      </c>
      <c r="K16" s="3" t="s">
        <v>173</v>
      </c>
      <c r="L16" s="3" t="s">
        <v>14</v>
      </c>
      <c r="N16" s="3" t="s">
        <v>174</v>
      </c>
    </row>
    <row r="17" ht="14.25" customHeight="1">
      <c r="A17" s="12" t="s">
        <v>27</v>
      </c>
      <c r="B17" s="3" t="s">
        <v>109</v>
      </c>
      <c r="C17" s="3">
        <v>1.0</v>
      </c>
      <c r="D17" s="3">
        <v>2.0</v>
      </c>
      <c r="E17" s="3" t="s">
        <v>130</v>
      </c>
      <c r="F17" s="3" t="s">
        <v>145</v>
      </c>
      <c r="I17" s="3" t="s">
        <v>175</v>
      </c>
      <c r="J17" s="3" t="s">
        <v>14</v>
      </c>
      <c r="L17" s="3" t="s">
        <v>14</v>
      </c>
      <c r="N17" s="3" t="s">
        <v>146</v>
      </c>
      <c r="O17" s="3" t="s">
        <v>140</v>
      </c>
    </row>
    <row r="18" ht="14.25" customHeight="1">
      <c r="A18" s="12" t="s">
        <v>27</v>
      </c>
      <c r="B18" s="3" t="s">
        <v>109</v>
      </c>
      <c r="C18" s="3">
        <v>1.0</v>
      </c>
      <c r="D18" s="3">
        <v>2.0</v>
      </c>
      <c r="E18" s="3" t="s">
        <v>130</v>
      </c>
      <c r="F18" s="3" t="s">
        <v>176</v>
      </c>
      <c r="I18" s="3" t="s">
        <v>177</v>
      </c>
      <c r="J18" s="3" t="s">
        <v>14</v>
      </c>
      <c r="K18" s="3" t="s">
        <v>178</v>
      </c>
      <c r="L18" s="3" t="s">
        <v>14</v>
      </c>
      <c r="O18" s="3" t="s">
        <v>140</v>
      </c>
    </row>
    <row r="19" ht="14.25" customHeight="1">
      <c r="A19" s="12" t="s">
        <v>27</v>
      </c>
      <c r="B19" s="3" t="s">
        <v>109</v>
      </c>
      <c r="C19" s="3">
        <v>1.0</v>
      </c>
      <c r="D19" s="3">
        <v>2.0</v>
      </c>
      <c r="E19" s="3" t="s">
        <v>130</v>
      </c>
      <c r="F19" s="3" t="s">
        <v>179</v>
      </c>
      <c r="I19" s="3" t="s">
        <v>180</v>
      </c>
      <c r="J19" s="3" t="s">
        <v>14</v>
      </c>
      <c r="K19" s="3" t="s">
        <v>178</v>
      </c>
      <c r="L19" s="3" t="s">
        <v>14</v>
      </c>
      <c r="O19" s="3" t="s">
        <v>140</v>
      </c>
    </row>
    <row r="20" ht="14.25" customHeight="1">
      <c r="A20" s="12" t="s">
        <v>27</v>
      </c>
      <c r="B20" s="3" t="s">
        <v>109</v>
      </c>
      <c r="C20" s="3">
        <v>1.0</v>
      </c>
      <c r="D20" s="3">
        <v>2.0</v>
      </c>
      <c r="E20" s="3" t="s">
        <v>130</v>
      </c>
      <c r="F20" s="3" t="s">
        <v>157</v>
      </c>
      <c r="I20" s="3" t="s">
        <v>158</v>
      </c>
      <c r="J20" s="3" t="s">
        <v>14</v>
      </c>
      <c r="K20" s="3" t="s">
        <v>159</v>
      </c>
      <c r="L20" s="3" t="s">
        <v>14</v>
      </c>
      <c r="O20" s="3" t="s">
        <v>140</v>
      </c>
    </row>
    <row r="21" ht="14.25" customHeight="1">
      <c r="A21" s="12" t="s">
        <v>27</v>
      </c>
      <c r="B21" s="3" t="s">
        <v>109</v>
      </c>
      <c r="C21" s="3">
        <v>1.0</v>
      </c>
      <c r="D21" s="3">
        <v>2.0</v>
      </c>
      <c r="E21" s="3" t="s">
        <v>130</v>
      </c>
      <c r="F21" s="3" t="s">
        <v>141</v>
      </c>
      <c r="I21" s="3" t="s">
        <v>142</v>
      </c>
      <c r="J21" s="3" t="s">
        <v>14</v>
      </c>
      <c r="L21" s="3" t="s">
        <v>14</v>
      </c>
      <c r="O21" s="3" t="s">
        <v>140</v>
      </c>
    </row>
    <row r="22" ht="14.25" customHeight="1">
      <c r="A22" s="12" t="s">
        <v>27</v>
      </c>
      <c r="B22" s="3" t="s">
        <v>109</v>
      </c>
      <c r="C22" s="3">
        <v>1.0</v>
      </c>
      <c r="D22" s="3">
        <v>2.0</v>
      </c>
      <c r="E22" s="3" t="s">
        <v>130</v>
      </c>
      <c r="F22" s="3" t="s">
        <v>138</v>
      </c>
      <c r="I22" s="3" t="s">
        <v>139</v>
      </c>
      <c r="J22" s="3" t="s">
        <v>14</v>
      </c>
      <c r="L22" s="3" t="s">
        <v>14</v>
      </c>
      <c r="O22" s="3" t="s">
        <v>140</v>
      </c>
    </row>
    <row r="23" ht="14.25" customHeight="1">
      <c r="A23" s="2" t="s">
        <v>41</v>
      </c>
      <c r="B23" s="3" t="s">
        <v>64</v>
      </c>
      <c r="C23" s="3">
        <v>1.0</v>
      </c>
      <c r="D23" s="3">
        <v>1.0</v>
      </c>
      <c r="E23" s="3" t="s">
        <v>130</v>
      </c>
      <c r="F23" s="3" t="s">
        <v>145</v>
      </c>
      <c r="J23" s="3" t="s">
        <v>14</v>
      </c>
      <c r="K23" s="3" t="s">
        <v>60</v>
      </c>
      <c r="L23" s="3" t="s">
        <v>14</v>
      </c>
      <c r="N23" s="3" t="s">
        <v>181</v>
      </c>
      <c r="O23" s="3" t="s">
        <v>140</v>
      </c>
    </row>
    <row r="24" ht="14.25" customHeight="1">
      <c r="A24" s="2" t="s">
        <v>41</v>
      </c>
      <c r="B24" s="3" t="s">
        <v>64</v>
      </c>
      <c r="C24" s="3">
        <v>2.0</v>
      </c>
      <c r="D24" s="3">
        <v>1.0</v>
      </c>
      <c r="E24" s="3" t="s">
        <v>130</v>
      </c>
      <c r="F24" s="3" t="s">
        <v>147</v>
      </c>
      <c r="I24" s="4" t="s">
        <v>182</v>
      </c>
      <c r="J24" s="4" t="s">
        <v>10</v>
      </c>
      <c r="L24" s="4" t="s">
        <v>10</v>
      </c>
      <c r="N24" s="3" t="s">
        <v>149</v>
      </c>
      <c r="O24" s="3" t="s">
        <v>150</v>
      </c>
    </row>
    <row r="25" ht="14.25" customHeight="1">
      <c r="A25" s="2" t="s">
        <v>41</v>
      </c>
      <c r="B25" s="3" t="s">
        <v>64</v>
      </c>
      <c r="C25" s="4">
        <v>3.0</v>
      </c>
      <c r="D25" s="3">
        <v>1.0</v>
      </c>
      <c r="E25" s="3" t="s">
        <v>130</v>
      </c>
      <c r="F25" s="3" t="s">
        <v>183</v>
      </c>
      <c r="I25" s="4" t="s">
        <v>184</v>
      </c>
      <c r="J25" s="4" t="s">
        <v>10</v>
      </c>
      <c r="K25" s="3" t="s">
        <v>178</v>
      </c>
      <c r="L25" s="4" t="s">
        <v>10</v>
      </c>
      <c r="N25" s="3" t="s">
        <v>149</v>
      </c>
      <c r="O25" s="3" t="s">
        <v>150</v>
      </c>
    </row>
    <row r="26" ht="14.25" customHeight="1">
      <c r="A26" s="2" t="s">
        <v>41</v>
      </c>
      <c r="B26" s="3" t="s">
        <v>64</v>
      </c>
      <c r="C26" s="4">
        <v>3.0</v>
      </c>
      <c r="D26" s="3">
        <v>2.0</v>
      </c>
      <c r="E26" s="3" t="s">
        <v>130</v>
      </c>
      <c r="F26" s="3" t="s">
        <v>185</v>
      </c>
      <c r="I26" s="4" t="s">
        <v>186</v>
      </c>
      <c r="J26" s="4" t="s">
        <v>10</v>
      </c>
      <c r="K26" s="3" t="s">
        <v>178</v>
      </c>
      <c r="L26" s="4" t="s">
        <v>10</v>
      </c>
      <c r="N26" s="3" t="s">
        <v>149</v>
      </c>
      <c r="O26" s="3" t="s">
        <v>150</v>
      </c>
    </row>
    <row r="27" ht="14.25" customHeight="1">
      <c r="A27" s="2" t="s">
        <v>41</v>
      </c>
      <c r="B27" s="3" t="s">
        <v>65</v>
      </c>
      <c r="C27" s="3">
        <v>1.0</v>
      </c>
      <c r="D27" s="3">
        <v>1.0</v>
      </c>
      <c r="E27" s="3" t="s">
        <v>130</v>
      </c>
      <c r="F27" s="3" t="s">
        <v>187</v>
      </c>
      <c r="I27" s="4" t="s">
        <v>188</v>
      </c>
      <c r="J27" s="3" t="s">
        <v>10</v>
      </c>
      <c r="K27" s="3" t="s">
        <v>178</v>
      </c>
      <c r="L27" s="3" t="s">
        <v>14</v>
      </c>
      <c r="N27" s="3" t="s">
        <v>149</v>
      </c>
      <c r="O27" s="3" t="s">
        <v>150</v>
      </c>
    </row>
    <row r="28" ht="14.25" customHeight="1">
      <c r="A28" s="2" t="s">
        <v>41</v>
      </c>
      <c r="B28" s="3" t="s">
        <v>65</v>
      </c>
      <c r="C28" s="3">
        <v>1.0</v>
      </c>
      <c r="D28" s="3">
        <v>2.0</v>
      </c>
      <c r="E28" s="3" t="s">
        <v>130</v>
      </c>
      <c r="F28" s="3" t="s">
        <v>189</v>
      </c>
      <c r="I28" s="3" t="s">
        <v>190</v>
      </c>
      <c r="J28" s="3" t="s">
        <v>10</v>
      </c>
      <c r="L28" s="3" t="s">
        <v>14</v>
      </c>
      <c r="N28" s="3" t="s">
        <v>149</v>
      </c>
      <c r="O28" s="3" t="s">
        <v>150</v>
      </c>
    </row>
    <row r="29" ht="14.25" customHeight="1">
      <c r="A29" s="2" t="s">
        <v>41</v>
      </c>
      <c r="B29" s="3" t="s">
        <v>65</v>
      </c>
      <c r="C29" s="3">
        <v>1.0</v>
      </c>
      <c r="D29" s="3">
        <v>3.0</v>
      </c>
      <c r="E29" s="3" t="s">
        <v>130</v>
      </c>
      <c r="F29" s="3" t="s">
        <v>191</v>
      </c>
      <c r="I29" s="4" t="s">
        <v>192</v>
      </c>
      <c r="J29" s="3" t="s">
        <v>10</v>
      </c>
      <c r="L29" s="3" t="s">
        <v>14</v>
      </c>
      <c r="N29" s="3" t="s">
        <v>149</v>
      </c>
      <c r="O29" s="3" t="s">
        <v>150</v>
      </c>
    </row>
    <row r="30" ht="14.25" customHeight="1">
      <c r="A30" s="2" t="s">
        <v>41</v>
      </c>
      <c r="B30" s="3" t="s">
        <v>65</v>
      </c>
      <c r="C30" s="3">
        <v>2.0</v>
      </c>
      <c r="D30" s="4">
        <v>1.0</v>
      </c>
      <c r="E30" s="3" t="s">
        <v>130</v>
      </c>
      <c r="F30" s="3" t="s">
        <v>193</v>
      </c>
      <c r="I30" s="3" t="s">
        <v>194</v>
      </c>
      <c r="J30" s="3" t="s">
        <v>10</v>
      </c>
      <c r="K30" s="3" t="s">
        <v>159</v>
      </c>
      <c r="L30" s="3" t="s">
        <v>14</v>
      </c>
      <c r="N30" s="3" t="s">
        <v>149</v>
      </c>
      <c r="O30" s="3" t="s">
        <v>150</v>
      </c>
    </row>
    <row r="31" ht="14.25" customHeight="1">
      <c r="A31" s="2" t="s">
        <v>41</v>
      </c>
      <c r="B31" s="3" t="s">
        <v>65</v>
      </c>
      <c r="C31" s="3">
        <v>2.0</v>
      </c>
      <c r="D31" s="4">
        <v>2.0</v>
      </c>
      <c r="E31" s="3" t="s">
        <v>130</v>
      </c>
      <c r="F31" s="3" t="s">
        <v>195</v>
      </c>
      <c r="I31" s="3" t="s">
        <v>196</v>
      </c>
      <c r="J31" s="3" t="s">
        <v>10</v>
      </c>
      <c r="K31" s="3" t="s">
        <v>159</v>
      </c>
      <c r="L31" s="3" t="s">
        <v>14</v>
      </c>
      <c r="N31" s="3" t="s">
        <v>149</v>
      </c>
      <c r="O31" s="3" t="s">
        <v>150</v>
      </c>
    </row>
    <row r="32" ht="14.25" customHeight="1">
      <c r="A32" s="2" t="s">
        <v>41</v>
      </c>
      <c r="B32" s="3" t="s">
        <v>65</v>
      </c>
      <c r="C32" s="3">
        <v>2.0</v>
      </c>
      <c r="D32" s="4">
        <v>3.0</v>
      </c>
      <c r="E32" s="3" t="s">
        <v>130</v>
      </c>
      <c r="F32" s="3" t="s">
        <v>197</v>
      </c>
      <c r="I32" s="4" t="s">
        <v>198</v>
      </c>
      <c r="J32" s="3" t="s">
        <v>10</v>
      </c>
      <c r="L32" s="3" t="s">
        <v>14</v>
      </c>
      <c r="N32" s="3" t="s">
        <v>149</v>
      </c>
      <c r="O32" s="3" t="s">
        <v>150</v>
      </c>
    </row>
    <row r="33" ht="14.25" customHeight="1">
      <c r="A33" s="2" t="s">
        <v>41</v>
      </c>
      <c r="B33" s="3" t="s">
        <v>66</v>
      </c>
      <c r="C33" s="3">
        <v>1.0</v>
      </c>
      <c r="D33" s="3">
        <v>1.0</v>
      </c>
      <c r="E33" s="3" t="s">
        <v>130</v>
      </c>
      <c r="F33" s="3" t="s">
        <v>199</v>
      </c>
      <c r="J33" s="3" t="s">
        <v>14</v>
      </c>
      <c r="K33" s="3" t="s">
        <v>178</v>
      </c>
      <c r="L33" s="3" t="s">
        <v>14</v>
      </c>
      <c r="N33" s="3" t="s">
        <v>149</v>
      </c>
      <c r="O33" s="3" t="s">
        <v>150</v>
      </c>
    </row>
    <row r="34" ht="14.25" customHeight="1">
      <c r="A34" s="2" t="s">
        <v>41</v>
      </c>
      <c r="B34" s="3" t="s">
        <v>30</v>
      </c>
      <c r="C34" s="3">
        <v>1.0</v>
      </c>
      <c r="D34" s="3">
        <v>1.0</v>
      </c>
      <c r="E34" s="3" t="s">
        <v>130</v>
      </c>
      <c r="F34" s="3" t="s">
        <v>200</v>
      </c>
      <c r="J34" s="3" t="s">
        <v>14</v>
      </c>
      <c r="K34" s="3" t="s">
        <v>178</v>
      </c>
      <c r="L34" s="3" t="s">
        <v>14</v>
      </c>
      <c r="N34" s="3" t="s">
        <v>149</v>
      </c>
      <c r="O34" s="3" t="s">
        <v>150</v>
      </c>
    </row>
    <row r="35" ht="14.25" customHeight="1">
      <c r="A35" s="2" t="s">
        <v>41</v>
      </c>
      <c r="B35" s="3" t="s">
        <v>67</v>
      </c>
      <c r="C35" s="3">
        <v>1.0</v>
      </c>
      <c r="D35" s="3">
        <v>1.0</v>
      </c>
      <c r="E35" s="3" t="s">
        <v>130</v>
      </c>
      <c r="F35" s="4" t="s">
        <v>201</v>
      </c>
      <c r="I35" s="4" t="s">
        <v>202</v>
      </c>
      <c r="J35" s="3" t="s">
        <v>10</v>
      </c>
      <c r="L35" s="3" t="s">
        <v>14</v>
      </c>
      <c r="N35" s="3" t="s">
        <v>203</v>
      </c>
      <c r="O35" s="3" t="s">
        <v>150</v>
      </c>
    </row>
    <row r="36" ht="14.25" customHeight="1">
      <c r="A36" s="2" t="s">
        <v>41</v>
      </c>
      <c r="B36" s="3" t="s">
        <v>67</v>
      </c>
      <c r="C36" s="4">
        <v>1.0</v>
      </c>
      <c r="D36" s="4">
        <v>2.0</v>
      </c>
      <c r="E36" s="3" t="s">
        <v>130</v>
      </c>
      <c r="F36" s="3" t="s">
        <v>204</v>
      </c>
      <c r="I36" s="3" t="s">
        <v>205</v>
      </c>
      <c r="J36" s="3" t="s">
        <v>10</v>
      </c>
      <c r="L36" s="3" t="s">
        <v>14</v>
      </c>
      <c r="N36" s="3" t="s">
        <v>203</v>
      </c>
      <c r="O36" s="3" t="s">
        <v>150</v>
      </c>
    </row>
    <row r="37" ht="14.25" customHeight="1">
      <c r="A37" s="2" t="s">
        <v>41</v>
      </c>
      <c r="B37" s="3" t="s">
        <v>67</v>
      </c>
      <c r="C37" s="4">
        <v>1.0</v>
      </c>
      <c r="D37" s="4">
        <v>3.0</v>
      </c>
      <c r="E37" s="3" t="s">
        <v>130</v>
      </c>
      <c r="F37" s="3" t="s">
        <v>206</v>
      </c>
      <c r="I37" s="3" t="s">
        <v>207</v>
      </c>
      <c r="J37" s="3" t="s">
        <v>10</v>
      </c>
      <c r="L37" s="3" t="s">
        <v>14</v>
      </c>
      <c r="N37" s="3" t="s">
        <v>203</v>
      </c>
      <c r="O37" s="3" t="s">
        <v>150</v>
      </c>
    </row>
    <row r="38" ht="14.25" customHeight="1">
      <c r="A38" s="2" t="s">
        <v>41</v>
      </c>
      <c r="B38" s="3" t="s">
        <v>115</v>
      </c>
      <c r="C38" s="3">
        <v>1.0</v>
      </c>
      <c r="D38" s="3">
        <v>1.0</v>
      </c>
      <c r="E38" s="3" t="s">
        <v>169</v>
      </c>
      <c r="F38" s="3" t="s">
        <v>170</v>
      </c>
      <c r="G38" s="3" t="s">
        <v>171</v>
      </c>
      <c r="H38" s="3" t="s">
        <v>172</v>
      </c>
      <c r="J38" s="3" t="s">
        <v>14</v>
      </c>
      <c r="K38" s="3" t="s">
        <v>173</v>
      </c>
      <c r="L38" s="3" t="s">
        <v>14</v>
      </c>
      <c r="N38" s="3" t="s">
        <v>174</v>
      </c>
    </row>
    <row r="39" ht="14.25" customHeight="1">
      <c r="A39" s="2" t="s">
        <v>41</v>
      </c>
      <c r="B39" s="3" t="s">
        <v>115</v>
      </c>
      <c r="C39" s="3">
        <v>1.0</v>
      </c>
      <c r="D39" s="3">
        <v>2.0</v>
      </c>
      <c r="E39" s="3" t="s">
        <v>130</v>
      </c>
      <c r="F39" s="3" t="s">
        <v>145</v>
      </c>
      <c r="I39" s="3" t="s">
        <v>208</v>
      </c>
      <c r="J39" s="3" t="s">
        <v>14</v>
      </c>
      <c r="L39" s="3" t="s">
        <v>14</v>
      </c>
      <c r="N39" s="3" t="s">
        <v>146</v>
      </c>
      <c r="O39" s="3" t="s">
        <v>140</v>
      </c>
    </row>
    <row r="40" ht="14.25" customHeight="1">
      <c r="A40" s="2" t="s">
        <v>41</v>
      </c>
      <c r="B40" s="3" t="s">
        <v>115</v>
      </c>
      <c r="C40" s="3">
        <v>1.0</v>
      </c>
      <c r="D40" s="3">
        <v>2.0</v>
      </c>
      <c r="E40" s="3" t="s">
        <v>130</v>
      </c>
      <c r="F40" s="3" t="s">
        <v>209</v>
      </c>
      <c r="I40" s="3" t="s">
        <v>210</v>
      </c>
      <c r="J40" s="3" t="s">
        <v>14</v>
      </c>
      <c r="L40" s="3" t="s">
        <v>14</v>
      </c>
      <c r="O40" s="3" t="s">
        <v>140</v>
      </c>
    </row>
    <row r="41" ht="14.25" customHeight="1">
      <c r="A41" s="2" t="s">
        <v>41</v>
      </c>
      <c r="B41" s="3" t="s">
        <v>115</v>
      </c>
      <c r="C41" s="3">
        <v>1.0</v>
      </c>
      <c r="D41" s="3">
        <v>2.0</v>
      </c>
      <c r="E41" s="3" t="s">
        <v>130</v>
      </c>
      <c r="F41" s="3" t="s">
        <v>211</v>
      </c>
      <c r="I41" s="3" t="s">
        <v>212</v>
      </c>
      <c r="J41" s="3" t="s">
        <v>14</v>
      </c>
      <c r="L41" s="3" t="s">
        <v>14</v>
      </c>
      <c r="O41" s="3" t="s">
        <v>140</v>
      </c>
    </row>
    <row r="42" ht="14.25" customHeight="1">
      <c r="A42" s="2" t="s">
        <v>41</v>
      </c>
      <c r="B42" s="3" t="s">
        <v>115</v>
      </c>
      <c r="C42" s="3">
        <v>1.0</v>
      </c>
      <c r="D42" s="3">
        <v>2.0</v>
      </c>
      <c r="E42" s="3" t="s">
        <v>130</v>
      </c>
      <c r="F42" s="3" t="s">
        <v>193</v>
      </c>
      <c r="I42" s="3" t="s">
        <v>194</v>
      </c>
      <c r="J42" s="3" t="s">
        <v>14</v>
      </c>
      <c r="K42" s="3" t="s">
        <v>159</v>
      </c>
      <c r="L42" s="3" t="s">
        <v>14</v>
      </c>
      <c r="O42" s="3" t="s">
        <v>140</v>
      </c>
    </row>
    <row r="43" ht="14.25" customHeight="1">
      <c r="A43" s="2" t="s">
        <v>41</v>
      </c>
      <c r="B43" s="3" t="s">
        <v>115</v>
      </c>
      <c r="C43" s="3">
        <v>1.0</v>
      </c>
      <c r="D43" s="3">
        <v>2.0</v>
      </c>
      <c r="E43" s="3" t="s">
        <v>130</v>
      </c>
      <c r="F43" s="3" t="s">
        <v>195</v>
      </c>
      <c r="I43" s="3" t="s">
        <v>196</v>
      </c>
      <c r="J43" s="3" t="s">
        <v>14</v>
      </c>
      <c r="K43" s="3" t="s">
        <v>159</v>
      </c>
      <c r="L43" s="3" t="s">
        <v>14</v>
      </c>
      <c r="O43" s="3" t="s">
        <v>140</v>
      </c>
    </row>
    <row r="44" ht="14.25" customHeight="1">
      <c r="A44" s="3" t="s">
        <v>51</v>
      </c>
      <c r="B44" s="3" t="s">
        <v>60</v>
      </c>
      <c r="C44" s="3">
        <v>1.0</v>
      </c>
      <c r="D44" s="3">
        <v>1.0</v>
      </c>
      <c r="E44" s="3" t="s">
        <v>130</v>
      </c>
      <c r="F44" s="3" t="s">
        <v>145</v>
      </c>
      <c r="J44" s="3" t="s">
        <v>14</v>
      </c>
      <c r="K44" s="3" t="s">
        <v>60</v>
      </c>
      <c r="L44" s="3" t="s">
        <v>14</v>
      </c>
      <c r="O44" s="3" t="s">
        <v>140</v>
      </c>
    </row>
    <row r="45" ht="14.25" customHeight="1">
      <c r="A45" s="3" t="s">
        <v>51</v>
      </c>
      <c r="B45" s="3" t="s">
        <v>64</v>
      </c>
      <c r="C45" s="3">
        <v>2.0</v>
      </c>
      <c r="D45" s="3">
        <v>1.0</v>
      </c>
      <c r="E45" s="3" t="s">
        <v>130</v>
      </c>
      <c r="F45" s="3" t="s">
        <v>213</v>
      </c>
      <c r="I45" s="3" t="s">
        <v>41</v>
      </c>
      <c r="J45" s="3" t="s">
        <v>14</v>
      </c>
      <c r="K45" s="3" t="s">
        <v>178</v>
      </c>
      <c r="L45" s="3" t="s">
        <v>14</v>
      </c>
      <c r="O45" s="3" t="s">
        <v>140</v>
      </c>
    </row>
    <row r="46" ht="14.25" customHeight="1">
      <c r="A46" s="3" t="s">
        <v>51</v>
      </c>
      <c r="B46" s="3" t="s">
        <v>64</v>
      </c>
      <c r="C46" s="3">
        <v>3.0</v>
      </c>
      <c r="D46" s="3">
        <v>1.0</v>
      </c>
      <c r="E46" s="3" t="s">
        <v>130</v>
      </c>
      <c r="F46" s="3" t="s">
        <v>170</v>
      </c>
      <c r="I46" s="3" t="s">
        <v>214</v>
      </c>
      <c r="J46" s="3" t="s">
        <v>14</v>
      </c>
      <c r="L46" s="3" t="s">
        <v>14</v>
      </c>
      <c r="O46" s="3" t="s">
        <v>140</v>
      </c>
    </row>
    <row r="47" ht="14.25" customHeight="1">
      <c r="A47" s="3" t="s">
        <v>51</v>
      </c>
      <c r="B47" s="3" t="s">
        <v>64</v>
      </c>
      <c r="C47" s="3">
        <v>4.0</v>
      </c>
      <c r="D47" s="3">
        <v>1.0</v>
      </c>
      <c r="E47" s="3" t="s">
        <v>130</v>
      </c>
      <c r="F47" s="3" t="s">
        <v>187</v>
      </c>
      <c r="I47" s="3" t="s">
        <v>215</v>
      </c>
      <c r="J47" s="3" t="s">
        <v>14</v>
      </c>
      <c r="K47" s="3" t="s">
        <v>178</v>
      </c>
      <c r="L47" s="3" t="s">
        <v>14</v>
      </c>
      <c r="O47" s="3" t="s">
        <v>140</v>
      </c>
    </row>
    <row r="48" ht="14.25" customHeight="1">
      <c r="A48" s="3" t="s">
        <v>51</v>
      </c>
      <c r="B48" s="3" t="s">
        <v>64</v>
      </c>
      <c r="C48" s="3">
        <v>6.0</v>
      </c>
      <c r="D48" s="3">
        <v>1.0</v>
      </c>
      <c r="E48" s="3" t="s">
        <v>130</v>
      </c>
      <c r="F48" s="3" t="s">
        <v>216</v>
      </c>
      <c r="I48" s="3" t="s">
        <v>217</v>
      </c>
      <c r="J48" s="3" t="s">
        <v>14</v>
      </c>
      <c r="L48" s="3" t="s">
        <v>14</v>
      </c>
      <c r="O48" s="3" t="s">
        <v>140</v>
      </c>
    </row>
    <row r="49" ht="14.25" customHeight="1">
      <c r="A49" s="3" t="s">
        <v>51</v>
      </c>
      <c r="B49" s="3" t="s">
        <v>64</v>
      </c>
      <c r="C49" s="3">
        <v>7.0</v>
      </c>
      <c r="D49" s="3">
        <v>1.0</v>
      </c>
      <c r="E49" s="3" t="s">
        <v>130</v>
      </c>
      <c r="F49" s="3" t="s">
        <v>152</v>
      </c>
      <c r="I49" s="3" t="s">
        <v>218</v>
      </c>
      <c r="J49" s="3" t="s">
        <v>14</v>
      </c>
      <c r="L49" s="3" t="s">
        <v>14</v>
      </c>
      <c r="O49" s="3" t="s">
        <v>140</v>
      </c>
    </row>
    <row r="50" ht="14.25" customHeight="1">
      <c r="A50" s="3" t="s">
        <v>51</v>
      </c>
      <c r="B50" s="3" t="s">
        <v>64</v>
      </c>
      <c r="C50" s="3">
        <v>8.0</v>
      </c>
      <c r="D50" s="3">
        <v>1.0</v>
      </c>
      <c r="E50" s="3" t="s">
        <v>130</v>
      </c>
      <c r="F50" s="3" t="s">
        <v>219</v>
      </c>
      <c r="I50" s="3" t="s">
        <v>220</v>
      </c>
      <c r="J50" s="3" t="s">
        <v>14</v>
      </c>
      <c r="L50" s="3" t="s">
        <v>14</v>
      </c>
      <c r="O50" s="3" t="s">
        <v>140</v>
      </c>
    </row>
    <row r="51" ht="14.25" customHeight="1">
      <c r="A51" s="3" t="s">
        <v>51</v>
      </c>
      <c r="B51" s="3" t="s">
        <v>64</v>
      </c>
      <c r="C51" s="3">
        <v>9.0</v>
      </c>
      <c r="D51" s="3">
        <v>1.0</v>
      </c>
      <c r="E51" s="3" t="s">
        <v>130</v>
      </c>
      <c r="F51" s="3" t="s">
        <v>209</v>
      </c>
      <c r="I51" s="3" t="s">
        <v>221</v>
      </c>
      <c r="J51" s="3" t="s">
        <v>14</v>
      </c>
      <c r="L51" s="3" t="s">
        <v>14</v>
      </c>
      <c r="O51" s="3" t="s">
        <v>140</v>
      </c>
    </row>
    <row r="52" ht="14.25" customHeight="1">
      <c r="A52" s="3" t="s">
        <v>51</v>
      </c>
      <c r="B52" s="3" t="s">
        <v>70</v>
      </c>
      <c r="C52" s="3">
        <v>1.0</v>
      </c>
      <c r="D52" s="3">
        <v>1.0</v>
      </c>
      <c r="E52" s="3" t="s">
        <v>130</v>
      </c>
      <c r="F52" s="3" t="s">
        <v>197</v>
      </c>
      <c r="I52" s="3" t="s">
        <v>222</v>
      </c>
      <c r="J52" s="3" t="s">
        <v>14</v>
      </c>
      <c r="L52" s="3" t="s">
        <v>14</v>
      </c>
      <c r="O52" s="3" t="s">
        <v>140</v>
      </c>
    </row>
    <row r="53" ht="14.25" customHeight="1">
      <c r="A53" s="3" t="s">
        <v>51</v>
      </c>
      <c r="B53" s="3" t="s">
        <v>70</v>
      </c>
      <c r="C53" s="3">
        <v>2.0</v>
      </c>
      <c r="D53" s="3">
        <v>1.0</v>
      </c>
      <c r="E53" s="3" t="s">
        <v>130</v>
      </c>
      <c r="F53" s="3" t="s">
        <v>223</v>
      </c>
      <c r="I53" s="3" t="s">
        <v>224</v>
      </c>
      <c r="J53" s="3" t="s">
        <v>14</v>
      </c>
      <c r="L53" s="3" t="s">
        <v>14</v>
      </c>
      <c r="O53" s="3" t="s">
        <v>140</v>
      </c>
    </row>
    <row r="54" ht="14.25" customHeight="1">
      <c r="A54" s="13" t="s">
        <v>6</v>
      </c>
      <c r="B54" s="3" t="s">
        <v>76</v>
      </c>
      <c r="C54" s="3">
        <v>1.0</v>
      </c>
      <c r="D54" s="3">
        <v>1.0</v>
      </c>
      <c r="E54" s="3" t="s">
        <v>130</v>
      </c>
      <c r="F54" s="3" t="s">
        <v>225</v>
      </c>
      <c r="I54" s="3" t="s">
        <v>226</v>
      </c>
      <c r="J54" s="3" t="s">
        <v>14</v>
      </c>
      <c r="L54" s="3" t="s">
        <v>14</v>
      </c>
      <c r="O54" s="3" t="s">
        <v>140</v>
      </c>
    </row>
    <row r="55" ht="14.25" customHeight="1">
      <c r="A55" s="13" t="s">
        <v>6</v>
      </c>
      <c r="B55" s="3" t="s">
        <v>76</v>
      </c>
      <c r="C55" s="3">
        <v>2.0</v>
      </c>
      <c r="D55" s="3">
        <v>1.0</v>
      </c>
      <c r="E55" s="3" t="s">
        <v>130</v>
      </c>
      <c r="F55" s="3" t="s">
        <v>227</v>
      </c>
      <c r="I55" s="3" t="s">
        <v>228</v>
      </c>
      <c r="J55" s="3" t="s">
        <v>14</v>
      </c>
      <c r="K55" s="3" t="s">
        <v>229</v>
      </c>
      <c r="L55" s="3" t="s">
        <v>14</v>
      </c>
      <c r="O55" s="3" t="s">
        <v>140</v>
      </c>
    </row>
    <row r="56" ht="14.25" customHeight="1">
      <c r="A56" s="13" t="s">
        <v>6</v>
      </c>
      <c r="B56" s="3" t="s">
        <v>77</v>
      </c>
      <c r="C56" s="3">
        <v>1.0</v>
      </c>
      <c r="D56" s="3">
        <v>1.0</v>
      </c>
      <c r="E56" s="3" t="s">
        <v>130</v>
      </c>
      <c r="F56" s="3" t="s">
        <v>230</v>
      </c>
      <c r="I56" s="3" t="s">
        <v>231</v>
      </c>
      <c r="J56" s="3" t="s">
        <v>14</v>
      </c>
      <c r="L56" s="3" t="s">
        <v>14</v>
      </c>
      <c r="O56" s="3" t="s">
        <v>140</v>
      </c>
    </row>
    <row r="57" ht="14.25" customHeight="1">
      <c r="A57" s="13" t="s">
        <v>6</v>
      </c>
      <c r="B57" s="3" t="s">
        <v>60</v>
      </c>
      <c r="C57" s="3">
        <v>1.0</v>
      </c>
      <c r="D57" s="3">
        <v>1.0</v>
      </c>
      <c r="E57" s="3" t="s">
        <v>130</v>
      </c>
      <c r="F57" s="3" t="s">
        <v>145</v>
      </c>
      <c r="J57" s="3" t="s">
        <v>14</v>
      </c>
      <c r="K57" s="3" t="s">
        <v>60</v>
      </c>
      <c r="L57" s="3" t="s">
        <v>14</v>
      </c>
      <c r="O57" s="3" t="s">
        <v>140</v>
      </c>
    </row>
    <row r="58" ht="14.25" customHeight="1">
      <c r="A58" s="13" t="s">
        <v>6</v>
      </c>
      <c r="B58" s="3" t="s">
        <v>73</v>
      </c>
      <c r="C58" s="3">
        <v>2.0</v>
      </c>
      <c r="D58" s="3">
        <v>2.0</v>
      </c>
      <c r="E58" s="3" t="s">
        <v>130</v>
      </c>
      <c r="F58" s="3" t="s">
        <v>145</v>
      </c>
      <c r="I58" s="3" t="s">
        <v>232</v>
      </c>
      <c r="J58" s="3" t="s">
        <v>10</v>
      </c>
      <c r="L58" s="3" t="s">
        <v>14</v>
      </c>
      <c r="N58" s="3" t="s">
        <v>233</v>
      </c>
      <c r="O58" s="3" t="s">
        <v>150</v>
      </c>
    </row>
    <row r="59" ht="14.25" customHeight="1">
      <c r="A59" s="13" t="s">
        <v>6</v>
      </c>
      <c r="B59" s="3" t="s">
        <v>73</v>
      </c>
      <c r="C59" s="3">
        <v>2.0</v>
      </c>
      <c r="D59" s="3">
        <v>2.0</v>
      </c>
      <c r="E59" s="3" t="s">
        <v>130</v>
      </c>
      <c r="F59" s="3" t="s">
        <v>234</v>
      </c>
      <c r="I59" s="3" t="s">
        <v>235</v>
      </c>
      <c r="J59" s="3" t="s">
        <v>10</v>
      </c>
      <c r="L59" s="3" t="s">
        <v>14</v>
      </c>
      <c r="O59" s="3" t="s">
        <v>150</v>
      </c>
    </row>
    <row r="60" ht="14.25" customHeight="1">
      <c r="A60" s="13" t="s">
        <v>6</v>
      </c>
      <c r="B60" s="3" t="s">
        <v>73</v>
      </c>
      <c r="C60" s="3">
        <v>2.0</v>
      </c>
      <c r="D60" s="3">
        <v>2.0</v>
      </c>
      <c r="E60" s="3" t="s">
        <v>130</v>
      </c>
      <c r="F60" s="3" t="s">
        <v>236</v>
      </c>
      <c r="I60" s="3" t="s">
        <v>237</v>
      </c>
      <c r="J60" s="3" t="s">
        <v>10</v>
      </c>
      <c r="L60" s="3" t="s">
        <v>14</v>
      </c>
      <c r="O60" s="3" t="s">
        <v>150</v>
      </c>
    </row>
    <row r="61" ht="14.25" customHeight="1">
      <c r="A61" s="13" t="s">
        <v>6</v>
      </c>
      <c r="B61" s="3" t="s">
        <v>73</v>
      </c>
      <c r="C61" s="3">
        <v>2.0</v>
      </c>
      <c r="D61" s="3">
        <v>2.0</v>
      </c>
      <c r="E61" s="3" t="s">
        <v>130</v>
      </c>
      <c r="F61" s="3" t="s">
        <v>238</v>
      </c>
      <c r="I61" s="3" t="s">
        <v>239</v>
      </c>
      <c r="J61" s="3" t="s">
        <v>10</v>
      </c>
      <c r="K61" s="3" t="s">
        <v>240</v>
      </c>
      <c r="L61" s="3" t="s">
        <v>14</v>
      </c>
      <c r="O61" s="3" t="s">
        <v>150</v>
      </c>
    </row>
    <row r="62" ht="14.25" customHeight="1">
      <c r="A62" s="13" t="s">
        <v>6</v>
      </c>
      <c r="B62" s="3" t="s">
        <v>73</v>
      </c>
      <c r="C62" s="3">
        <v>2.0</v>
      </c>
      <c r="D62" s="3">
        <v>2.0</v>
      </c>
      <c r="E62" s="3" t="s">
        <v>130</v>
      </c>
      <c r="F62" s="3" t="s">
        <v>241</v>
      </c>
      <c r="I62" s="3" t="s">
        <v>242</v>
      </c>
      <c r="J62" s="3" t="s">
        <v>10</v>
      </c>
      <c r="L62" s="3" t="s">
        <v>14</v>
      </c>
      <c r="N62" s="3" t="s">
        <v>149</v>
      </c>
      <c r="O62" s="3" t="s">
        <v>150</v>
      </c>
    </row>
    <row r="63" ht="14.25" customHeight="1">
      <c r="A63" s="13" t="s">
        <v>6</v>
      </c>
      <c r="B63" s="3" t="s">
        <v>73</v>
      </c>
      <c r="C63" s="3">
        <v>2.0</v>
      </c>
      <c r="D63" s="3">
        <v>3.0</v>
      </c>
      <c r="E63" s="3" t="s">
        <v>130</v>
      </c>
      <c r="F63" s="3" t="s">
        <v>243</v>
      </c>
      <c r="I63" s="3" t="s">
        <v>244</v>
      </c>
      <c r="J63" s="3" t="s">
        <v>10</v>
      </c>
      <c r="K63" s="3" t="s">
        <v>178</v>
      </c>
      <c r="L63" s="3" t="s">
        <v>14</v>
      </c>
      <c r="N63" s="3" t="s">
        <v>149</v>
      </c>
      <c r="O63" s="3" t="s">
        <v>150</v>
      </c>
    </row>
    <row r="64" ht="14.25" customHeight="1">
      <c r="A64" s="13" t="s">
        <v>6</v>
      </c>
      <c r="B64" s="3" t="s">
        <v>73</v>
      </c>
      <c r="C64" s="3">
        <v>2.0</v>
      </c>
      <c r="D64" s="3">
        <v>3.0</v>
      </c>
      <c r="E64" s="3" t="s">
        <v>130</v>
      </c>
      <c r="F64" s="3" t="s">
        <v>245</v>
      </c>
      <c r="I64" s="3" t="s">
        <v>246</v>
      </c>
      <c r="J64" s="3" t="s">
        <v>10</v>
      </c>
      <c r="K64" s="3" t="s">
        <v>247</v>
      </c>
      <c r="L64" s="3" t="s">
        <v>14</v>
      </c>
      <c r="O64" s="3" t="s">
        <v>150</v>
      </c>
    </row>
    <row r="65" ht="14.25" customHeight="1">
      <c r="A65" s="13" t="s">
        <v>6</v>
      </c>
      <c r="B65" s="3" t="s">
        <v>73</v>
      </c>
      <c r="C65" s="3">
        <v>2.0</v>
      </c>
      <c r="D65" s="3">
        <v>3.0</v>
      </c>
      <c r="E65" s="3" t="s">
        <v>130</v>
      </c>
      <c r="F65" s="3" t="s">
        <v>248</v>
      </c>
      <c r="I65" s="3" t="s">
        <v>249</v>
      </c>
      <c r="J65" s="3" t="s">
        <v>10</v>
      </c>
      <c r="L65" s="3" t="s">
        <v>14</v>
      </c>
      <c r="O65" s="3" t="s">
        <v>150</v>
      </c>
    </row>
    <row r="66" ht="14.25" customHeight="1">
      <c r="A66" s="13" t="s">
        <v>6</v>
      </c>
      <c r="B66" s="3" t="s">
        <v>73</v>
      </c>
      <c r="C66" s="3">
        <v>2.0</v>
      </c>
      <c r="D66" s="3">
        <v>3.0</v>
      </c>
      <c r="E66" s="3" t="s">
        <v>130</v>
      </c>
      <c r="F66" s="3" t="s">
        <v>250</v>
      </c>
      <c r="I66" s="3" t="s">
        <v>251</v>
      </c>
      <c r="J66" s="3" t="s">
        <v>10</v>
      </c>
      <c r="L66" s="3" t="s">
        <v>14</v>
      </c>
      <c r="O66" s="3" t="s">
        <v>150</v>
      </c>
    </row>
    <row r="67" ht="14.25" customHeight="1">
      <c r="A67" s="13" t="s">
        <v>6</v>
      </c>
      <c r="B67" s="3" t="s">
        <v>75</v>
      </c>
      <c r="C67" s="3">
        <v>1.0</v>
      </c>
      <c r="D67" s="3">
        <v>1.0</v>
      </c>
      <c r="E67" s="3" t="s">
        <v>130</v>
      </c>
      <c r="F67" s="3" t="s">
        <v>143</v>
      </c>
      <c r="I67" s="3" t="s">
        <v>252</v>
      </c>
      <c r="J67" s="3" t="s">
        <v>14</v>
      </c>
      <c r="K67" s="3" t="s">
        <v>144</v>
      </c>
      <c r="L67" s="3" t="s">
        <v>14</v>
      </c>
      <c r="O67" s="3" t="s">
        <v>140</v>
      </c>
    </row>
    <row r="68" ht="14.25" customHeight="1">
      <c r="A68" s="13" t="s">
        <v>6</v>
      </c>
      <c r="B68" s="3" t="s">
        <v>75</v>
      </c>
      <c r="C68" s="3">
        <v>2.0</v>
      </c>
      <c r="D68" s="3">
        <v>1.0</v>
      </c>
      <c r="E68" s="3" t="s">
        <v>253</v>
      </c>
      <c r="F68" s="3" t="s">
        <v>254</v>
      </c>
      <c r="I68" s="3" t="s">
        <v>255</v>
      </c>
      <c r="J68" s="4" t="s">
        <v>10</v>
      </c>
      <c r="K68" s="3" t="s">
        <v>256</v>
      </c>
      <c r="L68" s="3" t="s">
        <v>14</v>
      </c>
      <c r="N68" s="3" t="s">
        <v>149</v>
      </c>
      <c r="O68" s="3" t="s">
        <v>140</v>
      </c>
    </row>
    <row r="69" ht="14.25" customHeight="1">
      <c r="A69" s="13" t="s">
        <v>6</v>
      </c>
      <c r="B69" s="3" t="s">
        <v>75</v>
      </c>
      <c r="C69" s="3">
        <v>3.0</v>
      </c>
      <c r="D69" s="3">
        <v>1.0</v>
      </c>
      <c r="E69" s="3" t="s">
        <v>253</v>
      </c>
      <c r="F69" s="3" t="s">
        <v>257</v>
      </c>
      <c r="I69" s="3" t="s">
        <v>258</v>
      </c>
      <c r="J69" s="4" t="s">
        <v>10</v>
      </c>
      <c r="K69" s="3" t="s">
        <v>256</v>
      </c>
      <c r="L69" s="3" t="s">
        <v>14</v>
      </c>
      <c r="N69" s="3" t="s">
        <v>149</v>
      </c>
      <c r="O69" s="3" t="s">
        <v>140</v>
      </c>
    </row>
    <row r="70" ht="14.25" customHeight="1">
      <c r="A70" s="13" t="s">
        <v>6</v>
      </c>
      <c r="B70" s="3" t="s">
        <v>75</v>
      </c>
      <c r="C70" s="3">
        <v>4.0</v>
      </c>
      <c r="D70" s="3">
        <v>1.0</v>
      </c>
      <c r="E70" s="3" t="s">
        <v>253</v>
      </c>
      <c r="F70" s="3" t="s">
        <v>230</v>
      </c>
      <c r="I70" s="3" t="s">
        <v>231</v>
      </c>
      <c r="J70" s="4" t="s">
        <v>10</v>
      </c>
      <c r="K70" s="3" t="s">
        <v>256</v>
      </c>
      <c r="L70" s="3" t="s">
        <v>14</v>
      </c>
      <c r="N70" s="3" t="s">
        <v>149</v>
      </c>
      <c r="O70" s="3" t="s">
        <v>140</v>
      </c>
    </row>
    <row r="71" ht="14.25" customHeight="1">
      <c r="A71" s="13" t="s">
        <v>6</v>
      </c>
      <c r="B71" s="3" t="s">
        <v>75</v>
      </c>
      <c r="C71" s="3">
        <v>5.0</v>
      </c>
      <c r="D71" s="3">
        <v>1.0</v>
      </c>
      <c r="E71" s="3" t="s">
        <v>130</v>
      </c>
      <c r="F71" s="3" t="s">
        <v>259</v>
      </c>
      <c r="I71" s="3" t="s">
        <v>139</v>
      </c>
      <c r="J71" s="3" t="s">
        <v>14</v>
      </c>
      <c r="K71" s="3" t="s">
        <v>229</v>
      </c>
      <c r="L71" s="3" t="s">
        <v>14</v>
      </c>
      <c r="O71" s="3" t="s">
        <v>140</v>
      </c>
    </row>
    <row r="72" ht="14.25" customHeight="1">
      <c r="A72" s="13" t="s">
        <v>6</v>
      </c>
      <c r="B72" s="3" t="s">
        <v>24</v>
      </c>
      <c r="C72" s="3">
        <v>1.0</v>
      </c>
      <c r="D72" s="3">
        <v>1.0</v>
      </c>
      <c r="E72" s="3" t="s">
        <v>130</v>
      </c>
      <c r="F72" s="3" t="s">
        <v>260</v>
      </c>
      <c r="J72" s="3" t="s">
        <v>14</v>
      </c>
      <c r="L72" s="3" t="s">
        <v>14</v>
      </c>
      <c r="O72" s="3" t="s">
        <v>140</v>
      </c>
    </row>
    <row r="73" ht="14.25" customHeight="1">
      <c r="A73" s="13" t="s">
        <v>6</v>
      </c>
      <c r="B73" s="3" t="s">
        <v>24</v>
      </c>
      <c r="C73" s="3">
        <v>2.0</v>
      </c>
      <c r="D73" s="3">
        <v>1.0</v>
      </c>
      <c r="E73" s="3" t="s">
        <v>130</v>
      </c>
      <c r="F73" s="3" t="s">
        <v>261</v>
      </c>
      <c r="I73" s="3" t="s">
        <v>262</v>
      </c>
      <c r="J73" s="3" t="s">
        <v>14</v>
      </c>
      <c r="K73" s="3" t="s">
        <v>159</v>
      </c>
      <c r="L73" s="3" t="s">
        <v>14</v>
      </c>
      <c r="O73" s="3" t="s">
        <v>140</v>
      </c>
    </row>
    <row r="74" ht="14.25" customHeight="1">
      <c r="A74" s="3" t="s">
        <v>48</v>
      </c>
      <c r="B74" s="3" t="s">
        <v>7</v>
      </c>
      <c r="C74" s="3">
        <v>1.0</v>
      </c>
      <c r="D74" s="3">
        <v>1.0</v>
      </c>
      <c r="E74" s="3" t="s">
        <v>169</v>
      </c>
      <c r="F74" s="3" t="s">
        <v>170</v>
      </c>
      <c r="G74" s="3" t="s">
        <v>171</v>
      </c>
      <c r="H74" s="3" t="s">
        <v>172</v>
      </c>
      <c r="J74" s="3" t="s">
        <v>14</v>
      </c>
      <c r="K74" s="3" t="s">
        <v>173</v>
      </c>
      <c r="L74" s="3" t="s">
        <v>14</v>
      </c>
      <c r="N74" s="3" t="s">
        <v>174</v>
      </c>
    </row>
    <row r="75" ht="14.25" customHeight="1">
      <c r="A75" s="3" t="s">
        <v>48</v>
      </c>
      <c r="B75" s="3" t="s">
        <v>7</v>
      </c>
      <c r="C75" s="3">
        <v>2.0</v>
      </c>
      <c r="D75" s="3">
        <v>2.0</v>
      </c>
      <c r="E75" s="3" t="s">
        <v>130</v>
      </c>
      <c r="F75" s="3" t="s">
        <v>145</v>
      </c>
      <c r="I75" s="3" t="s">
        <v>263</v>
      </c>
      <c r="J75" s="3" t="s">
        <v>14</v>
      </c>
      <c r="L75" s="3" t="s">
        <v>14</v>
      </c>
      <c r="N75" s="3" t="s">
        <v>146</v>
      </c>
      <c r="O75" s="3" t="s">
        <v>140</v>
      </c>
    </row>
    <row r="76" ht="14.25" customHeight="1">
      <c r="A76" s="3" t="s">
        <v>48</v>
      </c>
      <c r="B76" s="3" t="s">
        <v>7</v>
      </c>
      <c r="C76" s="3">
        <v>3.0</v>
      </c>
      <c r="D76" s="3">
        <v>2.0</v>
      </c>
      <c r="E76" s="3" t="s">
        <v>130</v>
      </c>
      <c r="F76" s="3" t="s">
        <v>225</v>
      </c>
      <c r="I76" s="3" t="s">
        <v>123</v>
      </c>
      <c r="J76" s="3" t="s">
        <v>14</v>
      </c>
      <c r="L76" s="3" t="s">
        <v>14</v>
      </c>
      <c r="O76" s="3" t="s">
        <v>140</v>
      </c>
    </row>
    <row r="77" ht="14.25" customHeight="1">
      <c r="A77" s="3" t="s">
        <v>48</v>
      </c>
      <c r="B77" s="3" t="s">
        <v>7</v>
      </c>
      <c r="C77" s="3">
        <v>4.0</v>
      </c>
      <c r="D77" s="3">
        <v>2.0</v>
      </c>
      <c r="E77" s="3" t="s">
        <v>130</v>
      </c>
      <c r="F77" s="3" t="s">
        <v>264</v>
      </c>
      <c r="I77" s="3" t="s">
        <v>265</v>
      </c>
      <c r="J77" s="3" t="s">
        <v>14</v>
      </c>
      <c r="L77" s="3" t="s">
        <v>14</v>
      </c>
      <c r="O77" s="3" t="s">
        <v>140</v>
      </c>
    </row>
    <row r="78" ht="14.25" customHeight="1">
      <c r="A78" s="3" t="s">
        <v>48</v>
      </c>
      <c r="B78" s="3" t="s">
        <v>7</v>
      </c>
      <c r="C78" s="3">
        <v>5.0</v>
      </c>
      <c r="D78" s="3">
        <v>2.0</v>
      </c>
      <c r="E78" s="3" t="s">
        <v>130</v>
      </c>
      <c r="F78" s="3" t="s">
        <v>266</v>
      </c>
      <c r="J78" s="3" t="s">
        <v>14</v>
      </c>
      <c r="K78" s="3" t="s">
        <v>144</v>
      </c>
      <c r="L78" s="3" t="s">
        <v>14</v>
      </c>
      <c r="O78" s="3" t="s">
        <v>140</v>
      </c>
    </row>
    <row r="79" ht="14.25" customHeight="1">
      <c r="A79" s="3" t="s">
        <v>49</v>
      </c>
      <c r="B79" s="3" t="s">
        <v>7</v>
      </c>
      <c r="C79" s="3">
        <v>1.0</v>
      </c>
      <c r="D79" s="3">
        <v>1.0</v>
      </c>
      <c r="E79" s="3" t="s">
        <v>130</v>
      </c>
      <c r="F79" s="3" t="s">
        <v>145</v>
      </c>
      <c r="I79" s="3" t="s">
        <v>267</v>
      </c>
      <c r="J79" s="3" t="s">
        <v>14</v>
      </c>
      <c r="L79" s="3" t="s">
        <v>14</v>
      </c>
      <c r="O79" s="3" t="s">
        <v>140</v>
      </c>
    </row>
    <row r="80" ht="14.25" customHeight="1">
      <c r="A80" s="3" t="s">
        <v>49</v>
      </c>
      <c r="B80" s="3" t="s">
        <v>7</v>
      </c>
      <c r="C80" s="3">
        <v>2.0</v>
      </c>
      <c r="D80" s="3">
        <v>1.0</v>
      </c>
      <c r="E80" s="3" t="s">
        <v>130</v>
      </c>
      <c r="F80" s="3" t="s">
        <v>268</v>
      </c>
      <c r="I80" s="3" t="s">
        <v>194</v>
      </c>
      <c r="J80" s="3" t="s">
        <v>14</v>
      </c>
      <c r="L80" s="3" t="s">
        <v>14</v>
      </c>
      <c r="O80" s="3" t="s">
        <v>140</v>
      </c>
    </row>
    <row r="81" ht="14.25" customHeight="1">
      <c r="A81" s="3" t="s">
        <v>49</v>
      </c>
      <c r="B81" s="3" t="s">
        <v>7</v>
      </c>
      <c r="C81" s="3">
        <v>3.0</v>
      </c>
      <c r="D81" s="3">
        <v>1.0</v>
      </c>
      <c r="E81" s="3" t="s">
        <v>130</v>
      </c>
      <c r="F81" s="3" t="s">
        <v>269</v>
      </c>
      <c r="I81" s="3" t="s">
        <v>196</v>
      </c>
      <c r="J81" s="3" t="s">
        <v>14</v>
      </c>
      <c r="L81" s="3" t="s">
        <v>14</v>
      </c>
      <c r="O81" s="3" t="s">
        <v>140</v>
      </c>
    </row>
    <row r="82" ht="14.25" customHeight="1">
      <c r="A82" s="3" t="s">
        <v>49</v>
      </c>
      <c r="B82" s="3" t="s">
        <v>7</v>
      </c>
      <c r="C82" s="3">
        <v>4.0</v>
      </c>
      <c r="D82" s="3">
        <v>1.0</v>
      </c>
      <c r="E82" s="3" t="s">
        <v>130</v>
      </c>
      <c r="F82" s="3" t="s">
        <v>270</v>
      </c>
      <c r="I82" s="3" t="s">
        <v>271</v>
      </c>
      <c r="J82" s="3" t="s">
        <v>14</v>
      </c>
      <c r="L82" s="3" t="s">
        <v>14</v>
      </c>
      <c r="O82" s="3" t="s">
        <v>140</v>
      </c>
    </row>
    <row r="83" ht="14.25" customHeight="1">
      <c r="A83" s="3" t="s">
        <v>49</v>
      </c>
      <c r="B83" s="3" t="s">
        <v>7</v>
      </c>
      <c r="C83" s="3">
        <v>5.0</v>
      </c>
      <c r="D83" s="3">
        <v>1.0</v>
      </c>
      <c r="E83" s="3" t="s">
        <v>130</v>
      </c>
      <c r="F83" s="3" t="s">
        <v>170</v>
      </c>
      <c r="I83" s="3" t="s">
        <v>214</v>
      </c>
      <c r="J83" s="3" t="s">
        <v>14</v>
      </c>
      <c r="L83" s="3" t="s">
        <v>14</v>
      </c>
      <c r="O83" s="3" t="s">
        <v>140</v>
      </c>
    </row>
    <row r="84" ht="14.25" customHeight="1">
      <c r="A84" s="3" t="s">
        <v>49</v>
      </c>
      <c r="B84" s="3" t="s">
        <v>7</v>
      </c>
      <c r="C84" s="3">
        <v>6.0</v>
      </c>
      <c r="D84" s="3">
        <v>1.0</v>
      </c>
      <c r="E84" s="3" t="s">
        <v>130</v>
      </c>
      <c r="F84" s="3" t="s">
        <v>272</v>
      </c>
      <c r="I84" s="3" t="s">
        <v>273</v>
      </c>
      <c r="J84" s="3" t="s">
        <v>14</v>
      </c>
      <c r="K84" s="3" t="s">
        <v>178</v>
      </c>
      <c r="L84" s="3" t="s">
        <v>14</v>
      </c>
      <c r="O84" s="3" t="s">
        <v>140</v>
      </c>
    </row>
    <row r="85" ht="14.25" customHeight="1">
      <c r="A85" s="3" t="s">
        <v>49</v>
      </c>
      <c r="B85" s="3" t="s">
        <v>7</v>
      </c>
      <c r="C85" s="3">
        <v>7.0</v>
      </c>
      <c r="D85" s="3">
        <v>1.0</v>
      </c>
      <c r="E85" s="3" t="s">
        <v>130</v>
      </c>
      <c r="F85" s="3" t="s">
        <v>274</v>
      </c>
      <c r="I85" s="3" t="s">
        <v>273</v>
      </c>
      <c r="J85" s="3" t="s">
        <v>14</v>
      </c>
      <c r="K85" s="3" t="s">
        <v>178</v>
      </c>
      <c r="L85" s="3" t="s">
        <v>14</v>
      </c>
      <c r="O85" s="3" t="s">
        <v>140</v>
      </c>
    </row>
    <row r="86" ht="14.25" customHeight="1">
      <c r="A86" s="3" t="s">
        <v>49</v>
      </c>
      <c r="B86" s="3" t="s">
        <v>7</v>
      </c>
      <c r="C86" s="3">
        <v>8.0</v>
      </c>
      <c r="D86" s="3">
        <v>1.0</v>
      </c>
      <c r="E86" s="3" t="s">
        <v>130</v>
      </c>
      <c r="F86" s="3" t="s">
        <v>275</v>
      </c>
      <c r="I86" s="3" t="s">
        <v>276</v>
      </c>
      <c r="J86" s="3" t="s">
        <v>14</v>
      </c>
      <c r="K86" s="3" t="s">
        <v>178</v>
      </c>
      <c r="L86" s="3" t="s">
        <v>14</v>
      </c>
      <c r="O86" s="3" t="s">
        <v>140</v>
      </c>
    </row>
    <row r="87" ht="14.25" customHeight="1">
      <c r="A87" s="3" t="s">
        <v>49</v>
      </c>
      <c r="B87" s="3" t="s">
        <v>7</v>
      </c>
      <c r="C87" s="3">
        <v>9.0</v>
      </c>
      <c r="D87" s="3">
        <v>1.0</v>
      </c>
      <c r="E87" s="3" t="s">
        <v>130</v>
      </c>
      <c r="F87" s="3" t="s">
        <v>277</v>
      </c>
      <c r="I87" s="3" t="s">
        <v>276</v>
      </c>
      <c r="J87" s="3" t="s">
        <v>14</v>
      </c>
      <c r="K87" s="3" t="s">
        <v>178</v>
      </c>
      <c r="L87" s="3" t="s">
        <v>14</v>
      </c>
      <c r="O87" s="3" t="s">
        <v>140</v>
      </c>
    </row>
    <row r="88" ht="14.25" customHeight="1">
      <c r="A88" s="3" t="s">
        <v>49</v>
      </c>
      <c r="B88" s="3" t="s">
        <v>7</v>
      </c>
      <c r="C88" s="3">
        <v>10.0</v>
      </c>
      <c r="D88" s="3">
        <v>1.0</v>
      </c>
      <c r="E88" s="3" t="s">
        <v>130</v>
      </c>
      <c r="F88" s="3" t="s">
        <v>278</v>
      </c>
      <c r="I88" s="3" t="s">
        <v>279</v>
      </c>
      <c r="J88" s="3" t="s">
        <v>14</v>
      </c>
      <c r="K88" s="3" t="s">
        <v>178</v>
      </c>
      <c r="L88" s="3" t="s">
        <v>14</v>
      </c>
      <c r="O88" s="3" t="s">
        <v>140</v>
      </c>
    </row>
    <row r="89" ht="14.25" customHeight="1">
      <c r="A89" s="3" t="s">
        <v>49</v>
      </c>
      <c r="B89" s="3" t="s">
        <v>7</v>
      </c>
      <c r="C89" s="3">
        <v>11.0</v>
      </c>
      <c r="D89" s="3">
        <v>1.0</v>
      </c>
      <c r="E89" s="3" t="s">
        <v>130</v>
      </c>
      <c r="F89" s="3" t="s">
        <v>280</v>
      </c>
      <c r="I89" s="3" t="s">
        <v>281</v>
      </c>
      <c r="J89" s="3" t="s">
        <v>14</v>
      </c>
      <c r="K89" s="3" t="s">
        <v>178</v>
      </c>
      <c r="L89" s="3" t="s">
        <v>14</v>
      </c>
      <c r="O89" s="3" t="s">
        <v>140</v>
      </c>
    </row>
    <row r="90" ht="14.25" customHeight="1">
      <c r="A90" s="3" t="s">
        <v>49</v>
      </c>
      <c r="B90" s="3" t="s">
        <v>7</v>
      </c>
      <c r="C90" s="3">
        <v>12.0</v>
      </c>
      <c r="D90" s="3">
        <v>1.0</v>
      </c>
      <c r="E90" s="3" t="s">
        <v>130</v>
      </c>
      <c r="F90" s="3" t="s">
        <v>147</v>
      </c>
      <c r="I90" s="3" t="s">
        <v>148</v>
      </c>
      <c r="J90" s="3" t="s">
        <v>14</v>
      </c>
      <c r="L90" s="3" t="s">
        <v>14</v>
      </c>
      <c r="O90" s="3" t="s">
        <v>140</v>
      </c>
    </row>
    <row r="91" ht="14.25" customHeight="1">
      <c r="A91" s="3" t="s">
        <v>49</v>
      </c>
      <c r="B91" s="3" t="s">
        <v>7</v>
      </c>
      <c r="C91" s="3">
        <v>13.0</v>
      </c>
      <c r="D91" s="3">
        <v>1.0</v>
      </c>
      <c r="E91" s="3" t="s">
        <v>130</v>
      </c>
      <c r="F91" s="3" t="s">
        <v>143</v>
      </c>
      <c r="I91" s="3" t="s">
        <v>122</v>
      </c>
      <c r="J91" s="3" t="s">
        <v>14</v>
      </c>
      <c r="K91" s="3" t="s">
        <v>144</v>
      </c>
      <c r="L91" s="3" t="s">
        <v>14</v>
      </c>
      <c r="O91" s="3" t="s">
        <v>140</v>
      </c>
    </row>
    <row r="92" ht="14.25" customHeight="1">
      <c r="A92" s="3" t="s">
        <v>49</v>
      </c>
      <c r="B92" s="3" t="s">
        <v>7</v>
      </c>
      <c r="C92" s="3">
        <v>14.0</v>
      </c>
      <c r="D92" s="3">
        <v>1.0</v>
      </c>
      <c r="E92" s="3" t="s">
        <v>130</v>
      </c>
      <c r="F92" s="3" t="s">
        <v>225</v>
      </c>
      <c r="I92" s="3" t="s">
        <v>123</v>
      </c>
      <c r="J92" s="3" t="s">
        <v>14</v>
      </c>
      <c r="L92" s="3" t="s">
        <v>14</v>
      </c>
      <c r="O92" s="3" t="s">
        <v>140</v>
      </c>
    </row>
    <row r="93" ht="14.25" customHeight="1">
      <c r="A93" s="3" t="s">
        <v>49</v>
      </c>
      <c r="B93" s="3" t="s">
        <v>7</v>
      </c>
      <c r="C93" s="3">
        <v>15.0</v>
      </c>
      <c r="D93" s="3">
        <v>1.0</v>
      </c>
      <c r="E93" s="3" t="s">
        <v>130</v>
      </c>
      <c r="F93" s="3" t="s">
        <v>282</v>
      </c>
      <c r="I93" s="3" t="s">
        <v>139</v>
      </c>
      <c r="J93" s="3" t="s">
        <v>14</v>
      </c>
      <c r="L93" s="3" t="s">
        <v>14</v>
      </c>
      <c r="O93" s="3" t="s">
        <v>140</v>
      </c>
    </row>
    <row r="94" ht="14.25" customHeight="1">
      <c r="A94" s="3" t="s">
        <v>50</v>
      </c>
      <c r="B94" s="3" t="s">
        <v>7</v>
      </c>
      <c r="C94" s="3">
        <v>1.0</v>
      </c>
      <c r="D94" s="3">
        <v>1.0</v>
      </c>
      <c r="E94" s="3" t="s">
        <v>130</v>
      </c>
      <c r="F94" s="3" t="s">
        <v>147</v>
      </c>
      <c r="I94" s="3" t="s">
        <v>148</v>
      </c>
      <c r="J94" s="3" t="s">
        <v>14</v>
      </c>
      <c r="L94" s="3" t="s">
        <v>14</v>
      </c>
      <c r="O94" s="3" t="s">
        <v>140</v>
      </c>
    </row>
    <row r="95" ht="14.25" customHeight="1">
      <c r="A95" s="3" t="s">
        <v>50</v>
      </c>
      <c r="B95" s="3" t="s">
        <v>7</v>
      </c>
      <c r="C95" s="3">
        <v>2.0</v>
      </c>
      <c r="D95" s="3">
        <v>1.0</v>
      </c>
      <c r="E95" s="3" t="s">
        <v>130</v>
      </c>
      <c r="F95" s="3" t="s">
        <v>266</v>
      </c>
      <c r="I95" s="3" t="s">
        <v>107</v>
      </c>
      <c r="J95" s="3" t="s">
        <v>14</v>
      </c>
      <c r="K95" s="3" t="s">
        <v>144</v>
      </c>
      <c r="L95" s="3" t="s">
        <v>14</v>
      </c>
      <c r="O95" s="3" t="s">
        <v>140</v>
      </c>
    </row>
    <row r="96" ht="14.25" customHeight="1">
      <c r="A96" s="3" t="s">
        <v>50</v>
      </c>
      <c r="B96" s="3" t="s">
        <v>7</v>
      </c>
      <c r="C96" s="3">
        <v>3.0</v>
      </c>
      <c r="D96" s="3">
        <v>1.0</v>
      </c>
      <c r="E96" s="3" t="s">
        <v>130</v>
      </c>
      <c r="F96" s="3" t="s">
        <v>209</v>
      </c>
      <c r="I96" s="3" t="s">
        <v>210</v>
      </c>
      <c r="J96" s="3" t="s">
        <v>14</v>
      </c>
      <c r="L96" s="3" t="s">
        <v>14</v>
      </c>
      <c r="O96" s="3" t="s">
        <v>140</v>
      </c>
    </row>
    <row r="97" ht="14.25" customHeight="1">
      <c r="A97" s="3" t="s">
        <v>50</v>
      </c>
      <c r="B97" s="3" t="s">
        <v>7</v>
      </c>
      <c r="C97" s="3">
        <v>4.0</v>
      </c>
      <c r="D97" s="3">
        <v>1.0</v>
      </c>
      <c r="E97" s="3" t="s">
        <v>130</v>
      </c>
      <c r="F97" s="3" t="s">
        <v>145</v>
      </c>
      <c r="I97" s="3" t="s">
        <v>283</v>
      </c>
      <c r="J97" s="3" t="s">
        <v>14</v>
      </c>
      <c r="L97" s="3" t="s">
        <v>14</v>
      </c>
      <c r="O97" s="3" t="s">
        <v>140</v>
      </c>
    </row>
    <row r="98" ht="14.25" customHeight="1">
      <c r="A98" s="3" t="s">
        <v>50</v>
      </c>
      <c r="B98" s="3" t="s">
        <v>7</v>
      </c>
      <c r="C98" s="3">
        <v>5.0</v>
      </c>
      <c r="D98" s="3">
        <v>1.0</v>
      </c>
      <c r="E98" s="3" t="s">
        <v>130</v>
      </c>
      <c r="F98" s="3" t="s">
        <v>284</v>
      </c>
      <c r="I98" s="3" t="s">
        <v>285</v>
      </c>
      <c r="J98" s="3" t="s">
        <v>14</v>
      </c>
      <c r="K98" s="3" t="s">
        <v>178</v>
      </c>
      <c r="L98" s="3" t="s">
        <v>14</v>
      </c>
      <c r="O98" s="3" t="s">
        <v>140</v>
      </c>
    </row>
    <row r="99" ht="14.25" customHeight="1">
      <c r="A99" s="14" t="s">
        <v>52</v>
      </c>
      <c r="B99" s="3" t="s">
        <v>60</v>
      </c>
      <c r="C99" s="3">
        <v>1.0</v>
      </c>
      <c r="D99" s="3">
        <v>1.0</v>
      </c>
      <c r="E99" s="3" t="s">
        <v>253</v>
      </c>
      <c r="F99" s="3" t="s">
        <v>170</v>
      </c>
      <c r="J99" s="3" t="s">
        <v>14</v>
      </c>
      <c r="K99" s="3" t="s">
        <v>286</v>
      </c>
      <c r="L99" s="3" t="s">
        <v>14</v>
      </c>
      <c r="O99" s="3" t="s">
        <v>140</v>
      </c>
    </row>
    <row r="100" ht="14.25" customHeight="1">
      <c r="A100" s="14" t="s">
        <v>52</v>
      </c>
      <c r="B100" s="3" t="s">
        <v>60</v>
      </c>
      <c r="C100" s="3">
        <v>1.0</v>
      </c>
      <c r="D100" s="3">
        <v>1.0</v>
      </c>
      <c r="E100" s="3" t="s">
        <v>130</v>
      </c>
      <c r="F100" s="3" t="s">
        <v>145</v>
      </c>
      <c r="J100" s="3" t="s">
        <v>14</v>
      </c>
      <c r="K100" s="3" t="s">
        <v>60</v>
      </c>
      <c r="L100" s="3" t="s">
        <v>14</v>
      </c>
      <c r="O100" s="3" t="s">
        <v>140</v>
      </c>
    </row>
    <row r="101" ht="14.25" customHeight="1">
      <c r="A101" s="14" t="s">
        <v>52</v>
      </c>
      <c r="B101" s="3" t="s">
        <v>60</v>
      </c>
      <c r="C101" s="3">
        <v>1.0</v>
      </c>
      <c r="D101" s="3">
        <v>1.0</v>
      </c>
      <c r="E101" s="3" t="s">
        <v>130</v>
      </c>
      <c r="F101" s="3" t="s">
        <v>287</v>
      </c>
      <c r="J101" s="3" t="s">
        <v>14</v>
      </c>
      <c r="K101" s="3" t="s">
        <v>178</v>
      </c>
      <c r="L101" s="3" t="s">
        <v>10</v>
      </c>
    </row>
    <row r="102" ht="14.25" customHeight="1">
      <c r="A102" s="14" t="s">
        <v>52</v>
      </c>
      <c r="B102" s="3" t="s">
        <v>78</v>
      </c>
      <c r="C102" s="3">
        <v>1.0</v>
      </c>
      <c r="D102" s="3">
        <v>1.0</v>
      </c>
      <c r="E102" s="3" t="s">
        <v>130</v>
      </c>
      <c r="F102" s="3" t="s">
        <v>143</v>
      </c>
      <c r="J102" s="3" t="s">
        <v>14</v>
      </c>
      <c r="K102" s="3" t="s">
        <v>144</v>
      </c>
      <c r="L102" s="3" t="s">
        <v>14</v>
      </c>
      <c r="O102" s="3" t="s">
        <v>140</v>
      </c>
    </row>
    <row r="103" ht="14.25" customHeight="1">
      <c r="A103" s="14" t="s">
        <v>52</v>
      </c>
      <c r="B103" s="3" t="s">
        <v>79</v>
      </c>
      <c r="C103" s="3">
        <v>1.0</v>
      </c>
      <c r="D103" s="3">
        <v>1.0</v>
      </c>
      <c r="E103" s="3" t="s">
        <v>130</v>
      </c>
      <c r="F103" s="3" t="s">
        <v>225</v>
      </c>
      <c r="J103" s="3" t="s">
        <v>14</v>
      </c>
      <c r="K103" s="3" t="s">
        <v>288</v>
      </c>
      <c r="L103" s="3" t="s">
        <v>14</v>
      </c>
      <c r="O103" s="3" t="s">
        <v>140</v>
      </c>
    </row>
    <row r="104" ht="14.25" customHeight="1">
      <c r="A104" s="14" t="s">
        <v>52</v>
      </c>
      <c r="B104" s="3" t="s">
        <v>7</v>
      </c>
      <c r="C104" s="3">
        <v>1.0</v>
      </c>
      <c r="D104" s="3">
        <v>1.0</v>
      </c>
      <c r="E104" s="3" t="s">
        <v>130</v>
      </c>
      <c r="F104" s="3" t="s">
        <v>289</v>
      </c>
      <c r="I104" s="3" t="s">
        <v>290</v>
      </c>
      <c r="J104" s="3" t="s">
        <v>10</v>
      </c>
      <c r="K104" s="3" t="s">
        <v>291</v>
      </c>
      <c r="L104" s="3" t="s">
        <v>14</v>
      </c>
      <c r="N104" s="3" t="s">
        <v>149</v>
      </c>
      <c r="O104" s="3" t="s">
        <v>292</v>
      </c>
      <c r="P104" s="3" t="s">
        <v>203</v>
      </c>
    </row>
    <row r="105" ht="14.25" customHeight="1">
      <c r="A105" s="14" t="s">
        <v>52</v>
      </c>
      <c r="B105" s="3" t="s">
        <v>7</v>
      </c>
      <c r="C105" s="3">
        <v>1.0</v>
      </c>
      <c r="D105" s="3">
        <v>2.0</v>
      </c>
      <c r="E105" s="3" t="s">
        <v>130</v>
      </c>
      <c r="F105" s="3" t="s">
        <v>293</v>
      </c>
      <c r="I105" s="3" t="s">
        <v>48</v>
      </c>
      <c r="J105" s="3" t="s">
        <v>10</v>
      </c>
      <c r="L105" s="3" t="s">
        <v>14</v>
      </c>
      <c r="N105" s="3" t="s">
        <v>149</v>
      </c>
      <c r="O105" s="3" t="s">
        <v>292</v>
      </c>
      <c r="P105" s="3" t="s">
        <v>203</v>
      </c>
    </row>
    <row r="106" ht="14.25" customHeight="1">
      <c r="A106" s="14" t="s">
        <v>52</v>
      </c>
      <c r="B106" s="3" t="s">
        <v>7</v>
      </c>
      <c r="C106" s="3">
        <v>1.0</v>
      </c>
      <c r="D106" s="3">
        <v>3.0</v>
      </c>
      <c r="E106" s="3" t="s">
        <v>130</v>
      </c>
      <c r="F106" s="15" t="s">
        <v>294</v>
      </c>
      <c r="I106" s="3" t="s">
        <v>295</v>
      </c>
      <c r="J106" s="3" t="s">
        <v>10</v>
      </c>
      <c r="L106" s="3" t="s">
        <v>14</v>
      </c>
      <c r="N106" s="3" t="s">
        <v>149</v>
      </c>
      <c r="O106" s="16" t="s">
        <v>292</v>
      </c>
      <c r="P106" s="3" t="s">
        <v>203</v>
      </c>
    </row>
    <row r="107" ht="14.25" customHeight="1">
      <c r="A107" s="14" t="s">
        <v>52</v>
      </c>
      <c r="B107" s="3" t="s">
        <v>7</v>
      </c>
      <c r="C107" s="3">
        <v>2.0</v>
      </c>
      <c r="D107" s="3">
        <v>1.0</v>
      </c>
      <c r="E107" s="3" t="s">
        <v>130</v>
      </c>
      <c r="F107" s="15" t="s">
        <v>296</v>
      </c>
      <c r="I107" s="3" t="s">
        <v>297</v>
      </c>
      <c r="J107" s="3" t="s">
        <v>10</v>
      </c>
      <c r="L107" s="3" t="s">
        <v>14</v>
      </c>
      <c r="N107" s="3" t="s">
        <v>149</v>
      </c>
      <c r="O107" s="16" t="s">
        <v>292</v>
      </c>
      <c r="P107" s="3" t="s">
        <v>203</v>
      </c>
    </row>
    <row r="108" ht="14.25" customHeight="1">
      <c r="A108" s="14" t="s">
        <v>52</v>
      </c>
      <c r="B108" s="3" t="s">
        <v>7</v>
      </c>
      <c r="C108" s="3">
        <v>2.0</v>
      </c>
      <c r="D108" s="3">
        <v>2.0</v>
      </c>
      <c r="E108" s="3" t="s">
        <v>130</v>
      </c>
      <c r="F108" s="15" t="s">
        <v>298</v>
      </c>
      <c r="I108" s="3" t="s">
        <v>299</v>
      </c>
      <c r="J108" s="3" t="s">
        <v>10</v>
      </c>
      <c r="L108" s="3" t="s">
        <v>14</v>
      </c>
      <c r="N108" s="3" t="s">
        <v>149</v>
      </c>
      <c r="O108" s="16" t="s">
        <v>292</v>
      </c>
      <c r="P108" s="3" t="s">
        <v>203</v>
      </c>
    </row>
    <row r="109" ht="14.25" customHeight="1">
      <c r="A109" s="14" t="s">
        <v>52</v>
      </c>
      <c r="B109" s="3" t="s">
        <v>7</v>
      </c>
      <c r="C109" s="3">
        <v>2.0</v>
      </c>
      <c r="D109" s="3">
        <v>3.0</v>
      </c>
      <c r="E109" s="3" t="s">
        <v>130</v>
      </c>
      <c r="F109" s="15" t="s">
        <v>300</v>
      </c>
      <c r="I109" s="3" t="s">
        <v>301</v>
      </c>
      <c r="J109" s="3" t="s">
        <v>10</v>
      </c>
      <c r="L109" s="3" t="s">
        <v>14</v>
      </c>
      <c r="N109" s="3" t="s">
        <v>149</v>
      </c>
      <c r="O109" s="16" t="s">
        <v>292</v>
      </c>
      <c r="P109" s="3" t="s">
        <v>203</v>
      </c>
    </row>
    <row r="110" ht="14.25" customHeight="1">
      <c r="A110" s="14" t="s">
        <v>52</v>
      </c>
      <c r="B110" s="3" t="s">
        <v>7</v>
      </c>
      <c r="C110" s="3">
        <v>3.0</v>
      </c>
      <c r="D110" s="3">
        <v>1.0</v>
      </c>
      <c r="E110" s="3" t="s">
        <v>130</v>
      </c>
      <c r="F110" s="15" t="s">
        <v>302</v>
      </c>
      <c r="I110" s="3" t="s">
        <v>303</v>
      </c>
      <c r="J110" s="3" t="s">
        <v>10</v>
      </c>
      <c r="L110" s="3" t="s">
        <v>14</v>
      </c>
      <c r="N110" s="3" t="s">
        <v>149</v>
      </c>
      <c r="O110" s="16" t="s">
        <v>292</v>
      </c>
      <c r="P110" s="3" t="s">
        <v>203</v>
      </c>
    </row>
    <row r="111" ht="14.25" customHeight="1">
      <c r="A111" s="14" t="s">
        <v>52</v>
      </c>
      <c r="B111" s="3" t="s">
        <v>7</v>
      </c>
      <c r="C111" s="3">
        <v>3.0</v>
      </c>
      <c r="D111" s="3">
        <v>2.0</v>
      </c>
      <c r="E111" s="3" t="s">
        <v>130</v>
      </c>
      <c r="F111" s="15" t="s">
        <v>304</v>
      </c>
      <c r="I111" s="3" t="s">
        <v>305</v>
      </c>
      <c r="J111" s="3" t="s">
        <v>10</v>
      </c>
      <c r="L111" s="3" t="s">
        <v>14</v>
      </c>
      <c r="N111" s="3" t="s">
        <v>149</v>
      </c>
      <c r="O111" s="16" t="s">
        <v>292</v>
      </c>
      <c r="P111" s="3" t="s">
        <v>203</v>
      </c>
    </row>
    <row r="112" ht="14.25" customHeight="1">
      <c r="A112" s="14" t="s">
        <v>52</v>
      </c>
      <c r="B112" s="3" t="s">
        <v>7</v>
      </c>
      <c r="C112" s="3">
        <v>3.0</v>
      </c>
      <c r="D112" s="3">
        <v>3.0</v>
      </c>
      <c r="E112" s="3" t="s">
        <v>130</v>
      </c>
      <c r="F112" s="15" t="s">
        <v>306</v>
      </c>
      <c r="I112" s="3" t="s">
        <v>307</v>
      </c>
      <c r="J112" s="3" t="s">
        <v>10</v>
      </c>
      <c r="L112" s="3" t="s">
        <v>14</v>
      </c>
      <c r="N112" s="3" t="s">
        <v>149</v>
      </c>
      <c r="O112" s="16" t="s">
        <v>292</v>
      </c>
      <c r="P112" s="3" t="s">
        <v>203</v>
      </c>
    </row>
    <row r="113" ht="14.25" customHeight="1">
      <c r="A113" s="14" t="s">
        <v>52</v>
      </c>
      <c r="B113" s="3" t="s">
        <v>7</v>
      </c>
      <c r="C113" s="3">
        <v>11.0</v>
      </c>
      <c r="D113" s="3">
        <v>1.0</v>
      </c>
      <c r="E113" s="3" t="s">
        <v>169</v>
      </c>
      <c r="H113" s="3" t="s">
        <v>172</v>
      </c>
      <c r="I113" s="3" t="s">
        <v>308</v>
      </c>
      <c r="J113" s="3" t="s">
        <v>14</v>
      </c>
      <c r="K113" s="3" t="s">
        <v>309</v>
      </c>
      <c r="L113" s="3" t="s">
        <v>14</v>
      </c>
      <c r="O113" s="3" t="s">
        <v>140</v>
      </c>
    </row>
    <row r="114" ht="14.25" customHeight="1">
      <c r="A114" s="14" t="s">
        <v>52</v>
      </c>
      <c r="B114" s="3" t="s">
        <v>80</v>
      </c>
      <c r="C114" s="3">
        <v>1.0</v>
      </c>
      <c r="D114" s="3">
        <v>1.0</v>
      </c>
      <c r="E114" s="3" t="s">
        <v>130</v>
      </c>
      <c r="F114" s="3" t="s">
        <v>201</v>
      </c>
      <c r="I114" s="4" t="s">
        <v>202</v>
      </c>
      <c r="J114" s="3" t="s">
        <v>10</v>
      </c>
      <c r="L114" s="3" t="s">
        <v>14</v>
      </c>
      <c r="N114" s="3" t="s">
        <v>149</v>
      </c>
      <c r="O114" s="16" t="s">
        <v>292</v>
      </c>
    </row>
    <row r="115" ht="14.25" customHeight="1">
      <c r="A115" s="14" t="s">
        <v>52</v>
      </c>
      <c r="B115" s="3" t="s">
        <v>80</v>
      </c>
      <c r="C115" s="3">
        <v>1.0</v>
      </c>
      <c r="D115" s="3">
        <v>2.0</v>
      </c>
      <c r="E115" s="3" t="s">
        <v>130</v>
      </c>
      <c r="F115" s="3" t="s">
        <v>204</v>
      </c>
      <c r="I115" s="3" t="s">
        <v>205</v>
      </c>
      <c r="J115" s="3" t="s">
        <v>10</v>
      </c>
      <c r="L115" s="3" t="s">
        <v>14</v>
      </c>
      <c r="N115" s="3" t="s">
        <v>149</v>
      </c>
      <c r="O115" s="16" t="s">
        <v>292</v>
      </c>
    </row>
    <row r="116" ht="14.25" customHeight="1">
      <c r="A116" s="14" t="s">
        <v>52</v>
      </c>
      <c r="B116" s="3" t="s">
        <v>80</v>
      </c>
      <c r="C116" s="3">
        <v>1.0</v>
      </c>
      <c r="D116" s="3">
        <v>3.0</v>
      </c>
      <c r="E116" s="3" t="s">
        <v>130</v>
      </c>
      <c r="F116" s="3" t="s">
        <v>206</v>
      </c>
      <c r="I116" s="3" t="s">
        <v>207</v>
      </c>
      <c r="J116" s="3" t="s">
        <v>10</v>
      </c>
      <c r="L116" s="3" t="s">
        <v>14</v>
      </c>
      <c r="N116" s="3" t="s">
        <v>149</v>
      </c>
      <c r="O116" s="16" t="s">
        <v>292</v>
      </c>
    </row>
    <row r="117" ht="14.25" customHeight="1">
      <c r="A117" s="14" t="s">
        <v>52</v>
      </c>
      <c r="B117" s="3" t="s">
        <v>81</v>
      </c>
      <c r="C117" s="3">
        <v>1.0</v>
      </c>
      <c r="D117" s="3">
        <v>1.0</v>
      </c>
      <c r="E117" s="3" t="s">
        <v>130</v>
      </c>
      <c r="F117" s="3" t="s">
        <v>287</v>
      </c>
      <c r="J117" s="3" t="s">
        <v>14</v>
      </c>
      <c r="K117" s="3" t="s">
        <v>178</v>
      </c>
      <c r="L117" s="3" t="s">
        <v>14</v>
      </c>
      <c r="N117" s="3" t="s">
        <v>149</v>
      </c>
      <c r="O117" s="16" t="s">
        <v>292</v>
      </c>
    </row>
    <row r="118" ht="14.25" customHeight="1">
      <c r="A118" s="14" t="s">
        <v>52</v>
      </c>
      <c r="B118" s="3" t="s">
        <v>81</v>
      </c>
      <c r="C118" s="4">
        <v>1.0</v>
      </c>
      <c r="D118" s="4">
        <v>3.0</v>
      </c>
      <c r="E118" s="3" t="s">
        <v>130</v>
      </c>
      <c r="F118" s="3" t="s">
        <v>310</v>
      </c>
      <c r="J118" s="3" t="s">
        <v>14</v>
      </c>
      <c r="K118" s="3" t="s">
        <v>178</v>
      </c>
      <c r="L118" s="3" t="s">
        <v>14</v>
      </c>
      <c r="N118" s="3" t="s">
        <v>149</v>
      </c>
      <c r="O118" s="16" t="s">
        <v>292</v>
      </c>
    </row>
    <row r="119" ht="14.25" customHeight="1">
      <c r="A119" s="3" t="s">
        <v>53</v>
      </c>
      <c r="B119" s="3" t="s">
        <v>7</v>
      </c>
      <c r="C119" s="3">
        <v>1.0</v>
      </c>
      <c r="D119" s="3">
        <v>1.0</v>
      </c>
      <c r="E119" s="3" t="s">
        <v>130</v>
      </c>
      <c r="F119" s="3" t="s">
        <v>145</v>
      </c>
      <c r="I119" s="3" t="s">
        <v>267</v>
      </c>
      <c r="J119" s="3" t="s">
        <v>14</v>
      </c>
      <c r="L119" s="3" t="s">
        <v>14</v>
      </c>
      <c r="O119" s="3" t="s">
        <v>140</v>
      </c>
    </row>
    <row r="120" ht="14.25" customHeight="1">
      <c r="A120" s="3" t="s">
        <v>53</v>
      </c>
      <c r="B120" s="3" t="s">
        <v>7</v>
      </c>
      <c r="C120" s="3">
        <v>2.0</v>
      </c>
      <c r="D120" s="3">
        <v>1.0</v>
      </c>
      <c r="E120" s="3" t="s">
        <v>130</v>
      </c>
      <c r="F120" s="3" t="s">
        <v>311</v>
      </c>
      <c r="I120" s="3" t="s">
        <v>48</v>
      </c>
      <c r="J120" s="3" t="s">
        <v>14</v>
      </c>
      <c r="L120" s="3" t="s">
        <v>14</v>
      </c>
      <c r="O120" s="3" t="s">
        <v>140</v>
      </c>
    </row>
    <row r="121" ht="14.25" customHeight="1">
      <c r="A121" s="3" t="s">
        <v>53</v>
      </c>
      <c r="B121" s="3" t="s">
        <v>7</v>
      </c>
      <c r="C121" s="3">
        <v>3.0</v>
      </c>
      <c r="D121" s="3">
        <v>1.0</v>
      </c>
      <c r="E121" s="3" t="s">
        <v>130</v>
      </c>
      <c r="F121" s="3" t="s">
        <v>312</v>
      </c>
      <c r="I121" s="3" t="s">
        <v>265</v>
      </c>
      <c r="J121" s="3" t="s">
        <v>14</v>
      </c>
      <c r="L121" s="3" t="s">
        <v>14</v>
      </c>
      <c r="O121" s="3" t="s">
        <v>140</v>
      </c>
    </row>
    <row r="122" ht="14.25" customHeight="1">
      <c r="A122" s="3" t="s">
        <v>53</v>
      </c>
      <c r="B122" s="3" t="s">
        <v>7</v>
      </c>
      <c r="C122" s="3">
        <v>4.0</v>
      </c>
      <c r="D122" s="3">
        <v>1.0</v>
      </c>
      <c r="E122" s="3" t="s">
        <v>130</v>
      </c>
      <c r="F122" s="3" t="s">
        <v>313</v>
      </c>
      <c r="I122" s="3" t="s">
        <v>314</v>
      </c>
      <c r="J122" s="3" t="s">
        <v>14</v>
      </c>
      <c r="L122" s="3" t="s">
        <v>14</v>
      </c>
      <c r="O122" s="3" t="s">
        <v>140</v>
      </c>
    </row>
    <row r="123" ht="14.25" customHeight="1">
      <c r="A123" s="3" t="s">
        <v>53</v>
      </c>
      <c r="B123" s="3" t="s">
        <v>7</v>
      </c>
      <c r="C123" s="3">
        <v>5.0</v>
      </c>
      <c r="D123" s="3">
        <v>1.0</v>
      </c>
      <c r="E123" s="3" t="s">
        <v>253</v>
      </c>
      <c r="F123" s="3" t="s">
        <v>287</v>
      </c>
      <c r="I123" s="3" t="s">
        <v>315</v>
      </c>
      <c r="J123" s="3" t="s">
        <v>14</v>
      </c>
      <c r="K123" s="3" t="s">
        <v>286</v>
      </c>
      <c r="L123" s="3" t="s">
        <v>14</v>
      </c>
      <c r="O123" s="3" t="s">
        <v>140</v>
      </c>
    </row>
    <row r="124" ht="14.25" customHeight="1">
      <c r="A124" s="3" t="s">
        <v>53</v>
      </c>
      <c r="B124" s="3" t="s">
        <v>7</v>
      </c>
      <c r="C124" s="3">
        <v>6.0</v>
      </c>
      <c r="D124" s="3">
        <v>1.0</v>
      </c>
      <c r="E124" s="3" t="s">
        <v>130</v>
      </c>
      <c r="F124" s="3" t="s">
        <v>289</v>
      </c>
      <c r="I124" s="3" t="s">
        <v>290</v>
      </c>
      <c r="J124" s="3" t="s">
        <v>14</v>
      </c>
      <c r="L124" s="3" t="s">
        <v>14</v>
      </c>
      <c r="O124" s="3" t="s">
        <v>140</v>
      </c>
    </row>
    <row r="125" ht="14.25" customHeight="1">
      <c r="A125" s="3" t="s">
        <v>53</v>
      </c>
      <c r="B125" s="3" t="s">
        <v>7</v>
      </c>
      <c r="C125" s="3">
        <v>7.0</v>
      </c>
      <c r="D125" s="3">
        <v>1.0</v>
      </c>
      <c r="E125" s="3" t="s">
        <v>130</v>
      </c>
      <c r="F125" s="3" t="s">
        <v>143</v>
      </c>
      <c r="I125" s="3" t="s">
        <v>122</v>
      </c>
      <c r="J125" s="3" t="s">
        <v>14</v>
      </c>
      <c r="K125" s="3" t="s">
        <v>144</v>
      </c>
      <c r="L125" s="3" t="s">
        <v>14</v>
      </c>
      <c r="O125" s="3" t="s">
        <v>140</v>
      </c>
    </row>
    <row r="126" ht="14.25" customHeight="1">
      <c r="A126" s="3" t="s">
        <v>53</v>
      </c>
      <c r="B126" s="3" t="s">
        <v>7</v>
      </c>
      <c r="C126" s="3">
        <v>8.0</v>
      </c>
      <c r="D126" s="3">
        <v>1.0</v>
      </c>
      <c r="E126" s="3" t="s">
        <v>130</v>
      </c>
      <c r="F126" s="3" t="s">
        <v>213</v>
      </c>
      <c r="I126" s="3" t="s">
        <v>316</v>
      </c>
      <c r="J126" s="3" t="s">
        <v>14</v>
      </c>
      <c r="K126" s="3" t="s">
        <v>178</v>
      </c>
      <c r="L126" s="3" t="s">
        <v>14</v>
      </c>
      <c r="O126" s="3" t="s">
        <v>140</v>
      </c>
    </row>
    <row r="127" ht="14.25" customHeight="1">
      <c r="A127" s="3" t="s">
        <v>53</v>
      </c>
      <c r="B127" s="3" t="s">
        <v>7</v>
      </c>
      <c r="C127" s="3">
        <v>9.0</v>
      </c>
      <c r="D127" s="3">
        <v>1.0</v>
      </c>
      <c r="E127" s="3" t="s">
        <v>130</v>
      </c>
      <c r="F127" s="3" t="s">
        <v>317</v>
      </c>
      <c r="I127" s="3" t="s">
        <v>318</v>
      </c>
      <c r="J127" s="3" t="s">
        <v>14</v>
      </c>
      <c r="K127" s="3" t="s">
        <v>178</v>
      </c>
      <c r="L127" s="3" t="s">
        <v>14</v>
      </c>
      <c r="O127" s="3" t="s">
        <v>140</v>
      </c>
    </row>
    <row r="128" ht="14.25" customHeight="1">
      <c r="A128" s="3" t="s">
        <v>53</v>
      </c>
      <c r="B128" s="3" t="s">
        <v>7</v>
      </c>
      <c r="C128" s="3">
        <v>10.0</v>
      </c>
      <c r="D128" s="3">
        <v>1.0</v>
      </c>
      <c r="E128" s="3" t="s">
        <v>130</v>
      </c>
      <c r="F128" s="3" t="s">
        <v>225</v>
      </c>
      <c r="I128" s="3" t="s">
        <v>319</v>
      </c>
      <c r="J128" s="3" t="s">
        <v>14</v>
      </c>
      <c r="L128" s="3" t="s">
        <v>14</v>
      </c>
      <c r="O128" s="3" t="s">
        <v>140</v>
      </c>
    </row>
    <row r="129" ht="14.25" customHeight="1">
      <c r="A129" s="3" t="s">
        <v>53</v>
      </c>
      <c r="B129" s="3" t="s">
        <v>7</v>
      </c>
      <c r="C129" s="3">
        <v>11.0</v>
      </c>
      <c r="D129" s="3">
        <v>1.0</v>
      </c>
      <c r="E129" s="3" t="s">
        <v>169</v>
      </c>
      <c r="H129" s="3" t="s">
        <v>172</v>
      </c>
      <c r="I129" s="3" t="s">
        <v>308</v>
      </c>
      <c r="J129" s="3" t="s">
        <v>14</v>
      </c>
      <c r="K129" s="3" t="s">
        <v>309</v>
      </c>
      <c r="L129" s="3" t="s">
        <v>14</v>
      </c>
      <c r="O129" s="3" t="s">
        <v>140</v>
      </c>
    </row>
    <row r="130" ht="14.25" customHeight="1">
      <c r="A130" s="3" t="s">
        <v>54</v>
      </c>
      <c r="B130" s="3" t="s">
        <v>7</v>
      </c>
      <c r="C130" s="3">
        <v>1.0</v>
      </c>
      <c r="D130" s="3">
        <v>1.0</v>
      </c>
      <c r="E130" s="3" t="s">
        <v>130</v>
      </c>
      <c r="F130" s="3" t="s">
        <v>145</v>
      </c>
      <c r="I130" s="3" t="s">
        <v>267</v>
      </c>
      <c r="J130" s="3" t="s">
        <v>14</v>
      </c>
      <c r="L130" s="3" t="s">
        <v>14</v>
      </c>
      <c r="O130" s="3" t="s">
        <v>140</v>
      </c>
    </row>
    <row r="131" ht="14.25" customHeight="1">
      <c r="A131" s="3" t="s">
        <v>54</v>
      </c>
      <c r="B131" s="3" t="s">
        <v>7</v>
      </c>
      <c r="C131" s="3">
        <v>2.0</v>
      </c>
      <c r="D131" s="3">
        <v>1.0</v>
      </c>
      <c r="E131" s="3" t="s">
        <v>130</v>
      </c>
      <c r="F131" s="3" t="s">
        <v>311</v>
      </c>
      <c r="I131" s="3" t="s">
        <v>48</v>
      </c>
      <c r="J131" s="3" t="s">
        <v>14</v>
      </c>
      <c r="L131" s="3" t="s">
        <v>14</v>
      </c>
      <c r="O131" s="3" t="s">
        <v>140</v>
      </c>
    </row>
    <row r="132" ht="14.25" customHeight="1">
      <c r="A132" s="3" t="s">
        <v>54</v>
      </c>
      <c r="B132" s="3" t="s">
        <v>7</v>
      </c>
      <c r="C132" s="3">
        <v>3.0</v>
      </c>
      <c r="D132" s="3">
        <v>1.0</v>
      </c>
      <c r="E132" s="3" t="s">
        <v>130</v>
      </c>
      <c r="F132" s="3" t="s">
        <v>312</v>
      </c>
      <c r="I132" s="3" t="s">
        <v>265</v>
      </c>
      <c r="J132" s="3" t="s">
        <v>14</v>
      </c>
      <c r="L132" s="3" t="s">
        <v>14</v>
      </c>
      <c r="O132" s="3" t="s">
        <v>140</v>
      </c>
    </row>
    <row r="133" ht="14.25" customHeight="1">
      <c r="A133" s="3" t="s">
        <v>54</v>
      </c>
      <c r="B133" s="3" t="s">
        <v>7</v>
      </c>
      <c r="C133" s="3">
        <v>4.0</v>
      </c>
      <c r="D133" s="3">
        <v>1.0</v>
      </c>
      <c r="E133" s="3" t="s">
        <v>130</v>
      </c>
      <c r="F133" s="3" t="s">
        <v>313</v>
      </c>
      <c r="I133" s="3" t="s">
        <v>314</v>
      </c>
      <c r="J133" s="3" t="s">
        <v>14</v>
      </c>
      <c r="L133" s="3" t="s">
        <v>14</v>
      </c>
      <c r="O133" s="3" t="s">
        <v>140</v>
      </c>
    </row>
    <row r="134" ht="14.25" customHeight="1">
      <c r="A134" s="3" t="s">
        <v>54</v>
      </c>
      <c r="B134" s="3" t="s">
        <v>7</v>
      </c>
      <c r="C134" s="3">
        <v>5.0</v>
      </c>
      <c r="D134" s="3">
        <v>1.0</v>
      </c>
      <c r="E134" s="3" t="s">
        <v>253</v>
      </c>
      <c r="F134" s="3" t="s">
        <v>287</v>
      </c>
      <c r="I134" s="3" t="s">
        <v>315</v>
      </c>
      <c r="J134" s="3" t="s">
        <v>14</v>
      </c>
      <c r="K134" s="3" t="s">
        <v>286</v>
      </c>
      <c r="L134" s="3" t="s">
        <v>14</v>
      </c>
      <c r="O134" s="3" t="s">
        <v>140</v>
      </c>
    </row>
    <row r="135" ht="14.25" customHeight="1">
      <c r="A135" s="3" t="s">
        <v>54</v>
      </c>
      <c r="B135" s="3" t="s">
        <v>7</v>
      </c>
      <c r="C135" s="3">
        <v>6.0</v>
      </c>
      <c r="D135" s="3">
        <v>1.0</v>
      </c>
      <c r="E135" s="3" t="s">
        <v>130</v>
      </c>
      <c r="F135" s="3" t="s">
        <v>320</v>
      </c>
      <c r="I135" s="3" t="s">
        <v>290</v>
      </c>
      <c r="J135" s="3" t="s">
        <v>14</v>
      </c>
      <c r="L135" s="3" t="s">
        <v>14</v>
      </c>
      <c r="O135" s="3" t="s">
        <v>140</v>
      </c>
    </row>
    <row r="136" ht="14.25" customHeight="1">
      <c r="A136" s="3" t="s">
        <v>54</v>
      </c>
      <c r="B136" s="3" t="s">
        <v>7</v>
      </c>
      <c r="C136" s="3">
        <v>7.0</v>
      </c>
      <c r="D136" s="3">
        <v>1.0</v>
      </c>
      <c r="E136" s="3" t="s">
        <v>130</v>
      </c>
      <c r="F136" s="3" t="s">
        <v>143</v>
      </c>
      <c r="I136" s="3" t="s">
        <v>122</v>
      </c>
      <c r="J136" s="3" t="s">
        <v>14</v>
      </c>
      <c r="K136" s="3" t="s">
        <v>144</v>
      </c>
      <c r="L136" s="3" t="s">
        <v>14</v>
      </c>
      <c r="O136" s="3" t="s">
        <v>140</v>
      </c>
    </row>
    <row r="137" ht="14.25" customHeight="1">
      <c r="A137" s="3" t="s">
        <v>54</v>
      </c>
      <c r="B137" s="3" t="s">
        <v>7</v>
      </c>
      <c r="C137" s="3">
        <v>8.0</v>
      </c>
      <c r="D137" s="3">
        <v>1.0</v>
      </c>
      <c r="E137" s="3" t="s">
        <v>130</v>
      </c>
      <c r="F137" s="3" t="s">
        <v>213</v>
      </c>
      <c r="I137" s="3" t="s">
        <v>316</v>
      </c>
      <c r="J137" s="3" t="s">
        <v>14</v>
      </c>
      <c r="K137" s="3" t="s">
        <v>178</v>
      </c>
      <c r="L137" s="3" t="s">
        <v>14</v>
      </c>
      <c r="O137" s="3" t="s">
        <v>140</v>
      </c>
    </row>
    <row r="138" ht="14.25" customHeight="1">
      <c r="A138" s="3" t="s">
        <v>54</v>
      </c>
      <c r="B138" s="3" t="s">
        <v>7</v>
      </c>
      <c r="C138" s="3">
        <v>9.0</v>
      </c>
      <c r="D138" s="3">
        <v>1.0</v>
      </c>
      <c r="E138" s="3" t="s">
        <v>130</v>
      </c>
      <c r="F138" s="3" t="s">
        <v>317</v>
      </c>
      <c r="I138" s="3" t="s">
        <v>318</v>
      </c>
      <c r="J138" s="3" t="s">
        <v>14</v>
      </c>
      <c r="K138" s="3" t="s">
        <v>178</v>
      </c>
      <c r="L138" s="3" t="s">
        <v>14</v>
      </c>
      <c r="O138" s="3" t="s">
        <v>140</v>
      </c>
    </row>
    <row r="139" ht="14.25" customHeight="1">
      <c r="A139" s="3" t="s">
        <v>54</v>
      </c>
      <c r="B139" s="3" t="s">
        <v>7</v>
      </c>
      <c r="C139" s="3">
        <v>10.0</v>
      </c>
      <c r="D139" s="3">
        <v>1.0</v>
      </c>
      <c r="E139" s="3" t="s">
        <v>130</v>
      </c>
      <c r="F139" s="3" t="s">
        <v>225</v>
      </c>
      <c r="I139" s="3" t="s">
        <v>319</v>
      </c>
      <c r="J139" s="3" t="s">
        <v>14</v>
      </c>
      <c r="L139" s="3" t="s">
        <v>14</v>
      </c>
      <c r="O139" s="3" t="s">
        <v>140</v>
      </c>
    </row>
    <row r="140" ht="14.25" customHeight="1">
      <c r="A140" s="3" t="s">
        <v>54</v>
      </c>
      <c r="B140" s="3" t="s">
        <v>7</v>
      </c>
      <c r="C140" s="3">
        <v>11.0</v>
      </c>
      <c r="D140" s="3">
        <v>1.0</v>
      </c>
      <c r="E140" s="3" t="s">
        <v>169</v>
      </c>
      <c r="H140" s="3" t="s">
        <v>172</v>
      </c>
      <c r="I140" s="3" t="s">
        <v>308</v>
      </c>
      <c r="J140" s="3" t="s">
        <v>14</v>
      </c>
      <c r="K140" s="3" t="s">
        <v>309</v>
      </c>
      <c r="L140" s="3" t="s">
        <v>14</v>
      </c>
      <c r="O140" s="3" t="s">
        <v>140</v>
      </c>
    </row>
    <row r="141" ht="14.25" customHeight="1">
      <c r="A141" s="17" t="s">
        <v>39</v>
      </c>
      <c r="B141" s="3" t="s">
        <v>60</v>
      </c>
      <c r="C141" s="3">
        <v>1.0</v>
      </c>
      <c r="D141" s="3">
        <v>1.0</v>
      </c>
      <c r="E141" s="3" t="s">
        <v>253</v>
      </c>
      <c r="F141" s="3" t="s">
        <v>170</v>
      </c>
      <c r="J141" s="3" t="s">
        <v>14</v>
      </c>
      <c r="K141" s="3" t="s">
        <v>286</v>
      </c>
      <c r="L141" s="3" t="s">
        <v>14</v>
      </c>
      <c r="O141" s="3" t="s">
        <v>140</v>
      </c>
    </row>
    <row r="142" ht="14.25" customHeight="1">
      <c r="A142" s="17" t="s">
        <v>39</v>
      </c>
      <c r="B142" s="3" t="s">
        <v>60</v>
      </c>
      <c r="C142" s="3">
        <v>1.0</v>
      </c>
      <c r="D142" s="3">
        <v>1.0</v>
      </c>
      <c r="E142" s="3" t="s">
        <v>130</v>
      </c>
      <c r="F142" s="3" t="s">
        <v>145</v>
      </c>
      <c r="J142" s="3" t="s">
        <v>14</v>
      </c>
      <c r="K142" s="3" t="s">
        <v>60</v>
      </c>
      <c r="L142" s="3" t="s">
        <v>14</v>
      </c>
      <c r="O142" s="3" t="s">
        <v>140</v>
      </c>
    </row>
    <row r="143" ht="14.25" customHeight="1">
      <c r="A143" s="17" t="s">
        <v>39</v>
      </c>
      <c r="B143" s="3" t="s">
        <v>60</v>
      </c>
      <c r="C143" s="3">
        <v>1.0</v>
      </c>
      <c r="D143" s="3">
        <v>1.0</v>
      </c>
      <c r="E143" s="3" t="s">
        <v>130</v>
      </c>
      <c r="F143" s="3" t="s">
        <v>287</v>
      </c>
      <c r="J143" s="3" t="s">
        <v>14</v>
      </c>
      <c r="K143" s="3" t="s">
        <v>178</v>
      </c>
      <c r="L143" s="3" t="s">
        <v>10</v>
      </c>
    </row>
    <row r="144" ht="14.25" customHeight="1">
      <c r="A144" s="17" t="s">
        <v>39</v>
      </c>
      <c r="B144" s="3" t="s">
        <v>78</v>
      </c>
      <c r="C144" s="3">
        <v>1.0</v>
      </c>
      <c r="D144" s="3">
        <v>1.0</v>
      </c>
      <c r="E144" s="3" t="s">
        <v>130</v>
      </c>
      <c r="F144" s="3" t="s">
        <v>143</v>
      </c>
      <c r="J144" s="3" t="s">
        <v>14</v>
      </c>
      <c r="K144" s="3" t="s">
        <v>144</v>
      </c>
      <c r="L144" s="3" t="s">
        <v>14</v>
      </c>
      <c r="O144" s="3" t="s">
        <v>140</v>
      </c>
    </row>
    <row r="145" ht="14.25" customHeight="1">
      <c r="A145" s="17" t="s">
        <v>39</v>
      </c>
      <c r="B145" s="3" t="s">
        <v>79</v>
      </c>
      <c r="C145" s="3">
        <v>1.0</v>
      </c>
      <c r="D145" s="3">
        <v>1.0</v>
      </c>
      <c r="E145" s="3" t="s">
        <v>130</v>
      </c>
      <c r="F145" s="3" t="s">
        <v>225</v>
      </c>
      <c r="J145" s="3" t="s">
        <v>14</v>
      </c>
      <c r="K145" s="3" t="s">
        <v>288</v>
      </c>
      <c r="L145" s="3" t="s">
        <v>14</v>
      </c>
      <c r="O145" s="3" t="s">
        <v>140</v>
      </c>
    </row>
    <row r="146" ht="14.25" customHeight="1">
      <c r="A146" s="17" t="s">
        <v>39</v>
      </c>
      <c r="B146" s="3" t="s">
        <v>80</v>
      </c>
      <c r="C146" s="3">
        <v>11.0</v>
      </c>
      <c r="D146" s="3">
        <v>1.0</v>
      </c>
      <c r="E146" s="3" t="s">
        <v>169</v>
      </c>
      <c r="H146" s="3" t="s">
        <v>172</v>
      </c>
      <c r="I146" s="3" t="s">
        <v>308</v>
      </c>
      <c r="J146" s="3" t="s">
        <v>14</v>
      </c>
      <c r="K146" s="3" t="s">
        <v>309</v>
      </c>
      <c r="L146" s="3" t="s">
        <v>14</v>
      </c>
      <c r="O146" s="3" t="s">
        <v>140</v>
      </c>
    </row>
    <row r="147" ht="14.25" customHeight="1">
      <c r="A147" s="17" t="s">
        <v>39</v>
      </c>
      <c r="B147" s="3" t="s">
        <v>80</v>
      </c>
      <c r="C147" s="3">
        <v>1.0</v>
      </c>
      <c r="D147" s="3">
        <v>1.0</v>
      </c>
      <c r="E147" s="3" t="s">
        <v>130</v>
      </c>
      <c r="F147" s="3" t="s">
        <v>201</v>
      </c>
      <c r="I147" s="3" t="s">
        <v>321</v>
      </c>
      <c r="J147" s="3" t="s">
        <v>10</v>
      </c>
      <c r="L147" s="3" t="s">
        <v>14</v>
      </c>
      <c r="N147" s="3" t="s">
        <v>149</v>
      </c>
      <c r="O147" s="16" t="s">
        <v>292</v>
      </c>
    </row>
    <row r="148" ht="14.25" customHeight="1">
      <c r="A148" s="17" t="s">
        <v>39</v>
      </c>
      <c r="B148" s="3" t="s">
        <v>80</v>
      </c>
      <c r="C148" s="3">
        <v>1.0</v>
      </c>
      <c r="D148" s="3">
        <v>2.0</v>
      </c>
      <c r="E148" s="3" t="s">
        <v>130</v>
      </c>
      <c r="F148" s="3" t="s">
        <v>204</v>
      </c>
      <c r="I148" s="3" t="s">
        <v>205</v>
      </c>
      <c r="J148" s="3" t="s">
        <v>10</v>
      </c>
      <c r="L148" s="3" t="s">
        <v>14</v>
      </c>
      <c r="N148" s="3" t="s">
        <v>149</v>
      </c>
      <c r="O148" s="16" t="s">
        <v>292</v>
      </c>
    </row>
    <row r="149" ht="14.25" customHeight="1">
      <c r="A149" s="17" t="s">
        <v>39</v>
      </c>
      <c r="B149" s="3" t="s">
        <v>80</v>
      </c>
      <c r="C149" s="3">
        <v>1.0</v>
      </c>
      <c r="D149" s="3">
        <v>3.0</v>
      </c>
      <c r="E149" s="3" t="s">
        <v>130</v>
      </c>
      <c r="F149" s="3" t="s">
        <v>206</v>
      </c>
      <c r="I149" s="3" t="s">
        <v>207</v>
      </c>
      <c r="J149" s="3" t="s">
        <v>10</v>
      </c>
      <c r="L149" s="3" t="s">
        <v>14</v>
      </c>
      <c r="N149" s="3" t="s">
        <v>149</v>
      </c>
      <c r="O149" s="16" t="s">
        <v>292</v>
      </c>
    </row>
    <row r="150" ht="14.25" customHeight="1">
      <c r="A150" s="17" t="s">
        <v>39</v>
      </c>
      <c r="B150" s="3" t="s">
        <v>81</v>
      </c>
      <c r="C150" s="3">
        <v>1.0</v>
      </c>
      <c r="D150" s="3">
        <v>1.0</v>
      </c>
      <c r="E150" s="3" t="s">
        <v>130</v>
      </c>
      <c r="F150" s="3" t="s">
        <v>287</v>
      </c>
      <c r="J150" s="3" t="s">
        <v>14</v>
      </c>
      <c r="K150" s="3" t="s">
        <v>178</v>
      </c>
      <c r="L150" s="3" t="s">
        <v>14</v>
      </c>
      <c r="N150" s="3" t="s">
        <v>149</v>
      </c>
      <c r="O150" s="16" t="s">
        <v>292</v>
      </c>
    </row>
    <row r="151" ht="14.25" customHeight="1">
      <c r="A151" s="17" t="s">
        <v>39</v>
      </c>
      <c r="B151" s="3" t="s">
        <v>81</v>
      </c>
      <c r="C151" s="3">
        <v>1.0</v>
      </c>
      <c r="D151" s="4">
        <v>2.0</v>
      </c>
      <c r="E151" s="3" t="s">
        <v>130</v>
      </c>
      <c r="F151" s="3" t="s">
        <v>310</v>
      </c>
      <c r="J151" s="3" t="s">
        <v>14</v>
      </c>
      <c r="K151" s="3" t="s">
        <v>178</v>
      </c>
      <c r="L151" s="3" t="s">
        <v>14</v>
      </c>
      <c r="N151" s="3" t="s">
        <v>149</v>
      </c>
      <c r="O151" s="16" t="s">
        <v>292</v>
      </c>
    </row>
    <row r="152" ht="14.25" customHeight="1"/>
    <row r="153" ht="14.25" customHeight="1"/>
    <row r="154" ht="14.25" customHeight="1">
      <c r="A154" s="4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autoFilter ref="$A$1:$P$151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23.5"/>
    <col customWidth="1" min="3" max="3" width="12.25"/>
    <col customWidth="1" min="4" max="4" width="25.25"/>
    <col customWidth="1" min="5" max="5" width="8.13"/>
    <col customWidth="1" min="6" max="6" width="9.88"/>
    <col customWidth="1" min="7" max="7" width="12.38"/>
    <col customWidth="1" min="8" max="8" width="13.25"/>
    <col customWidth="1" min="9" max="9" width="15.5"/>
    <col customWidth="1" min="10" max="10" width="15.25"/>
    <col customWidth="1" min="11" max="26" width="8.0"/>
  </cols>
  <sheetData>
    <row r="1" ht="14.25" customHeight="1">
      <c r="A1" s="1" t="s">
        <v>0</v>
      </c>
      <c r="B1" s="1" t="s">
        <v>322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2</v>
      </c>
      <c r="H1" s="1" t="s">
        <v>134</v>
      </c>
      <c r="I1" s="1" t="s">
        <v>136</v>
      </c>
      <c r="J1" s="1" t="s">
        <v>137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6</v>
      </c>
      <c r="B2" s="3" t="s">
        <v>230</v>
      </c>
      <c r="C2" s="3" t="s">
        <v>130</v>
      </c>
      <c r="D2" s="3" t="s">
        <v>230</v>
      </c>
      <c r="G2" s="3" t="s">
        <v>267</v>
      </c>
      <c r="H2" s="3" t="s">
        <v>323</v>
      </c>
      <c r="I2" s="3" t="s">
        <v>324</v>
      </c>
    </row>
    <row r="3" ht="14.25" customHeight="1">
      <c r="A3" s="3" t="s">
        <v>6</v>
      </c>
      <c r="B3" s="3" t="s">
        <v>230</v>
      </c>
      <c r="C3" s="3" t="s">
        <v>130</v>
      </c>
      <c r="D3" s="3" t="s">
        <v>325</v>
      </c>
      <c r="G3" s="3" t="s">
        <v>326</v>
      </c>
      <c r="H3" s="3" t="s">
        <v>159</v>
      </c>
      <c r="I3" s="3" t="s">
        <v>324</v>
      </c>
    </row>
    <row r="4" ht="14.25" customHeight="1">
      <c r="A4" s="3" t="s">
        <v>6</v>
      </c>
      <c r="B4" s="3" t="s">
        <v>230</v>
      </c>
      <c r="C4" s="3" t="s">
        <v>130</v>
      </c>
      <c r="D4" s="3" t="s">
        <v>327</v>
      </c>
      <c r="G4" s="3" t="s">
        <v>328</v>
      </c>
      <c r="H4" s="3" t="s">
        <v>159</v>
      </c>
      <c r="I4" s="3" t="s">
        <v>324</v>
      </c>
    </row>
    <row r="5" ht="14.25" customHeight="1">
      <c r="A5" s="3" t="s">
        <v>6</v>
      </c>
      <c r="B5" s="3" t="s">
        <v>254</v>
      </c>
      <c r="C5" s="3" t="s">
        <v>130</v>
      </c>
      <c r="D5" s="3" t="s">
        <v>329</v>
      </c>
      <c r="G5" s="3" t="s">
        <v>330</v>
      </c>
      <c r="H5" s="3" t="s">
        <v>323</v>
      </c>
      <c r="I5" s="3" t="s">
        <v>324</v>
      </c>
    </row>
    <row r="6" ht="14.25" customHeight="1">
      <c r="A6" s="3" t="s">
        <v>6</v>
      </c>
      <c r="B6" s="3" t="s">
        <v>254</v>
      </c>
      <c r="C6" s="3" t="s">
        <v>130</v>
      </c>
      <c r="D6" s="3" t="s">
        <v>254</v>
      </c>
      <c r="G6" s="3" t="s">
        <v>331</v>
      </c>
      <c r="H6" s="3" t="s">
        <v>178</v>
      </c>
      <c r="I6" s="3" t="s">
        <v>324</v>
      </c>
    </row>
    <row r="7" ht="14.25" customHeight="1">
      <c r="A7" s="3" t="s">
        <v>6</v>
      </c>
      <c r="B7" s="3" t="s">
        <v>254</v>
      </c>
      <c r="C7" s="3" t="s">
        <v>130</v>
      </c>
      <c r="D7" s="3" t="s">
        <v>332</v>
      </c>
      <c r="G7" s="3" t="s">
        <v>326</v>
      </c>
      <c r="H7" s="3" t="s">
        <v>159</v>
      </c>
      <c r="I7" s="3" t="s">
        <v>324</v>
      </c>
    </row>
    <row r="8" ht="14.25" customHeight="1">
      <c r="A8" s="3" t="s">
        <v>6</v>
      </c>
      <c r="B8" s="3" t="s">
        <v>254</v>
      </c>
      <c r="C8" s="3" t="s">
        <v>130</v>
      </c>
      <c r="D8" s="3" t="s">
        <v>333</v>
      </c>
      <c r="G8" s="3" t="s">
        <v>328</v>
      </c>
      <c r="H8" s="3" t="s">
        <v>159</v>
      </c>
      <c r="I8" s="3" t="s">
        <v>324</v>
      </c>
    </row>
    <row r="9" ht="14.25" customHeight="1">
      <c r="A9" s="3" t="s">
        <v>6</v>
      </c>
      <c r="B9" s="3" t="s">
        <v>257</v>
      </c>
      <c r="C9" s="3" t="s">
        <v>130</v>
      </c>
      <c r="D9" s="3" t="s">
        <v>334</v>
      </c>
      <c r="G9" s="3" t="s">
        <v>330</v>
      </c>
      <c r="H9" s="3" t="s">
        <v>323</v>
      </c>
      <c r="I9" s="3" t="s">
        <v>324</v>
      </c>
    </row>
    <row r="10" ht="14.25" customHeight="1">
      <c r="A10" s="3" t="s">
        <v>6</v>
      </c>
      <c r="B10" s="3" t="s">
        <v>257</v>
      </c>
      <c r="C10" s="3" t="s">
        <v>130</v>
      </c>
      <c r="D10" s="3" t="s">
        <v>257</v>
      </c>
      <c r="G10" s="3" t="s">
        <v>331</v>
      </c>
      <c r="H10" s="3" t="s">
        <v>178</v>
      </c>
      <c r="I10" s="3" t="s">
        <v>324</v>
      </c>
    </row>
    <row r="11" ht="14.25" customHeight="1">
      <c r="A11" s="3" t="s">
        <v>6</v>
      </c>
      <c r="B11" s="3" t="s">
        <v>257</v>
      </c>
      <c r="C11" s="3" t="s">
        <v>130</v>
      </c>
      <c r="D11" s="3" t="s">
        <v>335</v>
      </c>
      <c r="G11" s="3" t="s">
        <v>326</v>
      </c>
      <c r="H11" s="3" t="s">
        <v>159</v>
      </c>
      <c r="I11" s="3" t="s">
        <v>324</v>
      </c>
    </row>
    <row r="12" ht="14.25" customHeight="1">
      <c r="A12" s="3" t="s">
        <v>6</v>
      </c>
      <c r="B12" s="3" t="s">
        <v>257</v>
      </c>
      <c r="C12" s="3" t="s">
        <v>130</v>
      </c>
      <c r="D12" s="3" t="s">
        <v>336</v>
      </c>
      <c r="G12" s="3" t="s">
        <v>328</v>
      </c>
      <c r="H12" s="3" t="s">
        <v>159</v>
      </c>
      <c r="I12" s="3" t="s">
        <v>324</v>
      </c>
    </row>
    <row r="13" ht="14.25" customHeight="1">
      <c r="A13" s="3" t="s">
        <v>52</v>
      </c>
      <c r="B13" s="3" t="s">
        <v>287</v>
      </c>
      <c r="C13" s="3" t="s">
        <v>130</v>
      </c>
      <c r="D13" s="3" t="s">
        <v>287</v>
      </c>
      <c r="G13" s="3" t="s">
        <v>337</v>
      </c>
      <c r="H13" s="3" t="s">
        <v>178</v>
      </c>
      <c r="I13" s="3" t="s">
        <v>324</v>
      </c>
    </row>
    <row r="14" ht="14.25" customHeight="1">
      <c r="A14" s="3" t="s">
        <v>52</v>
      </c>
      <c r="B14" s="3" t="s">
        <v>287</v>
      </c>
      <c r="C14" s="3" t="s">
        <v>130</v>
      </c>
      <c r="D14" s="3" t="s">
        <v>310</v>
      </c>
      <c r="G14" s="3" t="s">
        <v>255</v>
      </c>
      <c r="H14" s="3" t="s">
        <v>178</v>
      </c>
      <c r="I14" s="3" t="s">
        <v>324</v>
      </c>
    </row>
    <row r="15" ht="14.25" customHeight="1">
      <c r="A15" s="3" t="s">
        <v>52</v>
      </c>
      <c r="B15" s="3" t="s">
        <v>287</v>
      </c>
      <c r="C15" s="3" t="s">
        <v>130</v>
      </c>
      <c r="D15" s="3" t="s">
        <v>338</v>
      </c>
      <c r="G15" s="3" t="s">
        <v>339</v>
      </c>
      <c r="H15" s="3" t="s">
        <v>247</v>
      </c>
      <c r="I15" s="3" t="s">
        <v>324</v>
      </c>
    </row>
    <row r="16" ht="14.25" customHeight="1">
      <c r="A16" s="3" t="s">
        <v>52</v>
      </c>
      <c r="B16" s="3" t="s">
        <v>287</v>
      </c>
      <c r="C16" s="3" t="s">
        <v>130</v>
      </c>
      <c r="D16" s="3" t="s">
        <v>340</v>
      </c>
      <c r="G16" s="3" t="s">
        <v>341</v>
      </c>
      <c r="H16" s="3" t="s">
        <v>154</v>
      </c>
      <c r="I16" s="3" t="s">
        <v>324</v>
      </c>
    </row>
    <row r="17" ht="14.25" customHeight="1">
      <c r="A17" s="3" t="s">
        <v>52</v>
      </c>
      <c r="B17" s="3" t="s">
        <v>287</v>
      </c>
      <c r="C17" s="3" t="s">
        <v>130</v>
      </c>
      <c r="D17" s="3" t="s">
        <v>342</v>
      </c>
      <c r="G17" s="3" t="s">
        <v>139</v>
      </c>
      <c r="H17" s="3" t="s">
        <v>323</v>
      </c>
      <c r="I17" s="3" t="s">
        <v>324</v>
      </c>
    </row>
    <row r="18" ht="14.25" customHeight="1">
      <c r="A18" s="3" t="s">
        <v>52</v>
      </c>
      <c r="B18" s="3" t="s">
        <v>343</v>
      </c>
      <c r="C18" s="3" t="s">
        <v>130</v>
      </c>
      <c r="D18" s="3" t="s">
        <v>343</v>
      </c>
      <c r="G18" s="3" t="s">
        <v>344</v>
      </c>
      <c r="H18" s="3" t="s">
        <v>178</v>
      </c>
      <c r="I18" s="3" t="s">
        <v>324</v>
      </c>
    </row>
    <row r="19" ht="14.25" customHeight="1">
      <c r="A19" s="3" t="s">
        <v>52</v>
      </c>
      <c r="B19" s="3" t="s">
        <v>343</v>
      </c>
      <c r="C19" s="3" t="s">
        <v>130</v>
      </c>
      <c r="D19" s="3" t="s">
        <v>345</v>
      </c>
      <c r="G19" s="3" t="s">
        <v>255</v>
      </c>
      <c r="H19" s="3" t="s">
        <v>178</v>
      </c>
      <c r="I19" s="3" t="s">
        <v>324</v>
      </c>
    </row>
    <row r="20" ht="35.25" customHeight="1">
      <c r="A20" s="3" t="s">
        <v>52</v>
      </c>
      <c r="B20" s="3" t="s">
        <v>170</v>
      </c>
      <c r="C20" s="3" t="s">
        <v>130</v>
      </c>
      <c r="D20" s="3" t="s">
        <v>170</v>
      </c>
      <c r="H20" s="3" t="s">
        <v>323</v>
      </c>
      <c r="J20" s="15" t="s">
        <v>346</v>
      </c>
    </row>
    <row r="21" ht="36.0" customHeight="1">
      <c r="A21" s="3" t="s">
        <v>52</v>
      </c>
      <c r="B21" s="3" t="s">
        <v>170</v>
      </c>
      <c r="C21" s="3" t="s">
        <v>130</v>
      </c>
      <c r="D21" s="3" t="s">
        <v>313</v>
      </c>
      <c r="G21" s="3" t="s">
        <v>347</v>
      </c>
      <c r="H21" s="3" t="s">
        <v>323</v>
      </c>
      <c r="J21" s="15" t="s">
        <v>348</v>
      </c>
    </row>
    <row r="22" ht="14.25" customHeight="1">
      <c r="A22" s="3" t="s">
        <v>53</v>
      </c>
      <c r="B22" s="3" t="s">
        <v>287</v>
      </c>
      <c r="C22" s="3" t="s">
        <v>130</v>
      </c>
      <c r="D22" s="3" t="s">
        <v>287</v>
      </c>
      <c r="G22" s="3" t="s">
        <v>349</v>
      </c>
      <c r="H22" s="3" t="s">
        <v>178</v>
      </c>
      <c r="I22" s="3" t="s">
        <v>324</v>
      </c>
    </row>
    <row r="23" ht="14.25" customHeight="1">
      <c r="A23" s="3" t="s">
        <v>53</v>
      </c>
      <c r="B23" s="3" t="s">
        <v>287</v>
      </c>
      <c r="C23" s="3" t="s">
        <v>130</v>
      </c>
      <c r="D23" s="3" t="s">
        <v>310</v>
      </c>
      <c r="G23" s="3" t="s">
        <v>255</v>
      </c>
      <c r="H23" s="3" t="s">
        <v>178</v>
      </c>
      <c r="I23" s="3" t="s">
        <v>324</v>
      </c>
    </row>
    <row r="24" ht="14.25" customHeight="1">
      <c r="A24" s="3" t="s">
        <v>54</v>
      </c>
      <c r="B24" s="3" t="s">
        <v>287</v>
      </c>
      <c r="C24" s="3" t="s">
        <v>130</v>
      </c>
      <c r="D24" s="3" t="s">
        <v>287</v>
      </c>
      <c r="G24" s="3" t="s">
        <v>350</v>
      </c>
      <c r="H24" s="3" t="s">
        <v>178</v>
      </c>
      <c r="I24" s="3" t="s">
        <v>324</v>
      </c>
    </row>
    <row r="25" ht="14.25" customHeight="1">
      <c r="A25" s="3" t="s">
        <v>54</v>
      </c>
      <c r="B25" s="3" t="s">
        <v>287</v>
      </c>
      <c r="C25" s="3" t="s">
        <v>130</v>
      </c>
      <c r="D25" s="3" t="s">
        <v>310</v>
      </c>
      <c r="G25" s="3" t="s">
        <v>255</v>
      </c>
      <c r="H25" s="3" t="s">
        <v>178</v>
      </c>
      <c r="I25" s="3" t="s">
        <v>324</v>
      </c>
    </row>
    <row r="26" ht="14.25" customHeight="1">
      <c r="A26" s="3" t="s">
        <v>41</v>
      </c>
      <c r="B26" s="3" t="s">
        <v>351</v>
      </c>
      <c r="C26" s="3" t="s">
        <v>130</v>
      </c>
      <c r="D26" s="3" t="s">
        <v>351</v>
      </c>
      <c r="G26" s="3" t="s">
        <v>283</v>
      </c>
      <c r="H26" s="3" t="s">
        <v>178</v>
      </c>
      <c r="I26" s="3" t="s">
        <v>324</v>
      </c>
    </row>
    <row r="27" ht="14.25" customHeight="1">
      <c r="A27" s="3" t="s">
        <v>41</v>
      </c>
      <c r="B27" s="3" t="s">
        <v>351</v>
      </c>
      <c r="C27" s="3" t="s">
        <v>130</v>
      </c>
      <c r="D27" s="3" t="s">
        <v>338</v>
      </c>
      <c r="G27" s="3" t="s">
        <v>339</v>
      </c>
      <c r="H27" s="3" t="s">
        <v>247</v>
      </c>
      <c r="I27" s="3" t="s">
        <v>324</v>
      </c>
    </row>
    <row r="28" ht="14.25" customHeight="1">
      <c r="A28" s="3" t="s">
        <v>41</v>
      </c>
      <c r="B28" s="3" t="s">
        <v>352</v>
      </c>
      <c r="C28" s="3" t="s">
        <v>130</v>
      </c>
      <c r="D28" s="3" t="s">
        <v>352</v>
      </c>
      <c r="G28" s="3" t="s">
        <v>353</v>
      </c>
      <c r="H28" s="3" t="s">
        <v>178</v>
      </c>
      <c r="I28" s="3" t="s">
        <v>324</v>
      </c>
    </row>
    <row r="29" ht="14.25" customHeight="1">
      <c r="A29" s="3" t="s">
        <v>41</v>
      </c>
      <c r="B29" s="3" t="s">
        <v>352</v>
      </c>
      <c r="C29" s="3" t="s">
        <v>130</v>
      </c>
      <c r="D29" s="3" t="s">
        <v>340</v>
      </c>
      <c r="G29" s="3" t="s">
        <v>341</v>
      </c>
      <c r="H29" s="3" t="s">
        <v>154</v>
      </c>
      <c r="I29" s="3" t="s">
        <v>324</v>
      </c>
    </row>
    <row r="30" ht="14.25" customHeight="1">
      <c r="A30" s="4" t="s">
        <v>39</v>
      </c>
      <c r="B30" s="3" t="s">
        <v>287</v>
      </c>
      <c r="C30" s="3" t="s">
        <v>130</v>
      </c>
      <c r="D30" s="3" t="s">
        <v>287</v>
      </c>
      <c r="G30" s="3" t="s">
        <v>337</v>
      </c>
      <c r="H30" s="3" t="s">
        <v>178</v>
      </c>
      <c r="I30" s="3" t="s">
        <v>324</v>
      </c>
    </row>
    <row r="31" ht="14.25" customHeight="1">
      <c r="A31" s="4" t="s">
        <v>39</v>
      </c>
      <c r="B31" s="3" t="s">
        <v>287</v>
      </c>
      <c r="C31" s="3" t="s">
        <v>130</v>
      </c>
      <c r="D31" s="3" t="s">
        <v>310</v>
      </c>
      <c r="G31" s="3" t="s">
        <v>255</v>
      </c>
      <c r="H31" s="3" t="s">
        <v>178</v>
      </c>
      <c r="I31" s="3" t="s">
        <v>324</v>
      </c>
    </row>
    <row r="32" ht="14.25" customHeight="1">
      <c r="A32" s="4" t="s">
        <v>39</v>
      </c>
      <c r="B32" s="3" t="s">
        <v>287</v>
      </c>
      <c r="C32" s="3" t="s">
        <v>130</v>
      </c>
      <c r="D32" s="3" t="s">
        <v>338</v>
      </c>
      <c r="G32" s="3" t="s">
        <v>339</v>
      </c>
      <c r="H32" s="3" t="s">
        <v>247</v>
      </c>
      <c r="I32" s="3" t="s">
        <v>324</v>
      </c>
    </row>
    <row r="33" ht="14.25" customHeight="1">
      <c r="A33" s="4" t="s">
        <v>39</v>
      </c>
      <c r="B33" s="3" t="s">
        <v>287</v>
      </c>
      <c r="C33" s="3" t="s">
        <v>130</v>
      </c>
      <c r="D33" s="3" t="s">
        <v>340</v>
      </c>
      <c r="G33" s="3" t="s">
        <v>341</v>
      </c>
      <c r="H33" s="3" t="s">
        <v>154</v>
      </c>
      <c r="I33" s="3" t="s">
        <v>324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12.88"/>
    <col customWidth="1" min="3" max="3" width="48.88"/>
    <col customWidth="1" min="4" max="4" width="12.5"/>
    <col customWidth="1" min="5" max="5" width="21.5"/>
    <col customWidth="1" min="6" max="6" width="12.5"/>
    <col customWidth="1" min="7" max="26" width="8.0"/>
  </cols>
  <sheetData>
    <row r="1" ht="14.25" customHeight="1">
      <c r="A1" s="1" t="s">
        <v>0</v>
      </c>
      <c r="B1" s="1" t="s">
        <v>127</v>
      </c>
      <c r="C1" s="18" t="s">
        <v>354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52</v>
      </c>
      <c r="B2" s="3" t="s">
        <v>72</v>
      </c>
      <c r="C2" s="15" t="s">
        <v>355</v>
      </c>
    </row>
    <row r="3" ht="14.25" customHeight="1">
      <c r="A3" s="3" t="s">
        <v>52</v>
      </c>
      <c r="B3" s="3" t="s">
        <v>85</v>
      </c>
      <c r="C3" s="15" t="s">
        <v>356</v>
      </c>
    </row>
    <row r="4" ht="25.5" customHeight="1">
      <c r="A4" s="3" t="s">
        <v>52</v>
      </c>
      <c r="B4" s="3" t="s">
        <v>74</v>
      </c>
      <c r="C4" s="15"/>
    </row>
    <row r="5" ht="14.25" customHeight="1">
      <c r="A5" s="3" t="s">
        <v>54</v>
      </c>
      <c r="B5" s="3" t="s">
        <v>72</v>
      </c>
      <c r="C5" s="15" t="s">
        <v>355</v>
      </c>
    </row>
    <row r="6" ht="14.25" customHeight="1">
      <c r="A6" s="3" t="s">
        <v>54</v>
      </c>
      <c r="B6" s="3" t="s">
        <v>85</v>
      </c>
      <c r="C6" s="15" t="s">
        <v>357</v>
      </c>
    </row>
    <row r="7" ht="14.25" customHeight="1">
      <c r="A7" s="3" t="s">
        <v>54</v>
      </c>
      <c r="B7" s="3" t="s">
        <v>74</v>
      </c>
      <c r="C7" s="15" t="s">
        <v>358</v>
      </c>
    </row>
    <row r="8" ht="14.25" customHeight="1">
      <c r="A8" s="3" t="s">
        <v>53</v>
      </c>
      <c r="B8" s="3" t="s">
        <v>72</v>
      </c>
      <c r="C8" s="15" t="s">
        <v>355</v>
      </c>
    </row>
    <row r="9" ht="14.25" customHeight="1">
      <c r="A9" s="3" t="s">
        <v>53</v>
      </c>
      <c r="B9" s="3" t="s">
        <v>85</v>
      </c>
      <c r="C9" s="15" t="s">
        <v>357</v>
      </c>
    </row>
    <row r="10" ht="14.25" customHeight="1">
      <c r="A10" s="3" t="s">
        <v>53</v>
      </c>
      <c r="B10" s="3" t="s">
        <v>74</v>
      </c>
      <c r="C10" s="15" t="s">
        <v>358</v>
      </c>
    </row>
    <row r="11" ht="36.75" customHeight="1">
      <c r="A11" s="3" t="s">
        <v>6</v>
      </c>
      <c r="B11" s="3" t="s">
        <v>72</v>
      </c>
      <c r="C11" s="15" t="s">
        <v>359</v>
      </c>
    </row>
    <row r="12" ht="14.25" customHeight="1">
      <c r="A12" s="3" t="s">
        <v>6</v>
      </c>
      <c r="B12" s="3" t="s">
        <v>74</v>
      </c>
      <c r="C12" s="15"/>
    </row>
    <row r="13" ht="14.25" customHeight="1">
      <c r="A13" s="3" t="s">
        <v>27</v>
      </c>
      <c r="B13" s="3" t="s">
        <v>72</v>
      </c>
      <c r="C13" s="15"/>
    </row>
    <row r="14" ht="14.25" customHeight="1">
      <c r="A14" s="3" t="s">
        <v>41</v>
      </c>
      <c r="B14" s="3" t="s">
        <v>72</v>
      </c>
      <c r="C14" s="15"/>
    </row>
    <row r="15" ht="14.25" customHeight="1">
      <c r="A15" s="3" t="s">
        <v>48</v>
      </c>
      <c r="B15" s="3" t="s">
        <v>72</v>
      </c>
      <c r="C15" s="15" t="s">
        <v>360</v>
      </c>
    </row>
    <row r="16" ht="14.25" customHeight="1">
      <c r="A16" s="3" t="s">
        <v>49</v>
      </c>
      <c r="B16" s="3" t="s">
        <v>72</v>
      </c>
      <c r="C16" s="15" t="s">
        <v>360</v>
      </c>
    </row>
    <row r="17" ht="14.25" customHeight="1">
      <c r="A17" s="3" t="s">
        <v>50</v>
      </c>
      <c r="B17" s="3" t="s">
        <v>72</v>
      </c>
      <c r="C17" s="15" t="s">
        <v>360</v>
      </c>
    </row>
    <row r="18" ht="14.25" customHeight="1">
      <c r="A18" s="3" t="s">
        <v>51</v>
      </c>
      <c r="B18" s="3" t="s">
        <v>72</v>
      </c>
      <c r="C18" s="15" t="s">
        <v>360</v>
      </c>
    </row>
    <row r="19" ht="14.25" customHeight="1">
      <c r="C19" s="15"/>
    </row>
    <row r="20" ht="14.25" customHeight="1">
      <c r="C20" s="15"/>
    </row>
    <row r="21" ht="14.25" customHeight="1">
      <c r="C21" s="15"/>
    </row>
    <row r="22" ht="14.25" customHeight="1">
      <c r="C22" s="15"/>
    </row>
    <row r="23" ht="14.25" customHeight="1">
      <c r="C23" s="15"/>
    </row>
    <row r="24" ht="14.25" customHeight="1">
      <c r="C24" s="15"/>
    </row>
    <row r="25" ht="14.25" customHeight="1">
      <c r="C25" s="15"/>
    </row>
    <row r="26" ht="14.25" customHeight="1">
      <c r="C26" s="15"/>
    </row>
    <row r="27" ht="14.25" customHeight="1">
      <c r="C27" s="15"/>
    </row>
    <row r="28" ht="14.25" customHeight="1">
      <c r="C28" s="15"/>
    </row>
    <row r="29" ht="14.25" customHeight="1">
      <c r="C29" s="15"/>
    </row>
    <row r="30" ht="14.25" customHeight="1">
      <c r="C30" s="15"/>
    </row>
    <row r="31" ht="14.25" customHeight="1">
      <c r="C31" s="15"/>
    </row>
    <row r="32" ht="14.25" customHeight="1">
      <c r="C32" s="15"/>
    </row>
    <row r="33" ht="14.25" customHeight="1">
      <c r="C33" s="15"/>
    </row>
    <row r="34" ht="14.25" customHeight="1">
      <c r="C34" s="15"/>
    </row>
    <row r="35" ht="14.25" customHeight="1">
      <c r="C35" s="15"/>
    </row>
    <row r="36" ht="14.25" customHeight="1">
      <c r="C36" s="15"/>
    </row>
    <row r="37" ht="14.25" customHeight="1">
      <c r="C37" s="15"/>
    </row>
    <row r="38" ht="14.25" customHeight="1">
      <c r="C38" s="15"/>
    </row>
    <row r="39" ht="14.25" customHeight="1">
      <c r="C39" s="15"/>
    </row>
    <row r="40" ht="14.25" customHeight="1">
      <c r="C40" s="15"/>
    </row>
    <row r="41" ht="14.25" customHeight="1">
      <c r="C41" s="15"/>
    </row>
    <row r="42" ht="14.25" customHeight="1">
      <c r="C42" s="15"/>
    </row>
    <row r="43" ht="14.25" customHeight="1">
      <c r="C43" s="15"/>
    </row>
    <row r="44" ht="14.25" customHeight="1">
      <c r="C44" s="15"/>
    </row>
    <row r="45" ht="14.25" customHeight="1">
      <c r="C45" s="15"/>
    </row>
    <row r="46" ht="14.25" customHeight="1">
      <c r="C46" s="15"/>
    </row>
    <row r="47" ht="14.25" customHeight="1">
      <c r="C47" s="15"/>
    </row>
    <row r="48" ht="14.25" customHeight="1">
      <c r="C48" s="15"/>
    </row>
    <row r="49" ht="14.25" customHeight="1">
      <c r="C49" s="15"/>
    </row>
    <row r="50" ht="14.25" customHeight="1">
      <c r="C50" s="15"/>
    </row>
    <row r="51" ht="14.25" customHeight="1">
      <c r="C51" s="15"/>
    </row>
    <row r="52" ht="14.25" customHeight="1">
      <c r="C52" s="15"/>
    </row>
    <row r="53" ht="14.25" customHeight="1">
      <c r="C53" s="15"/>
    </row>
    <row r="54" ht="14.25" customHeight="1">
      <c r="C54" s="15"/>
    </row>
    <row r="55" ht="14.25" customHeight="1">
      <c r="C55" s="15"/>
    </row>
    <row r="56" ht="14.25" customHeight="1">
      <c r="C56" s="15"/>
    </row>
    <row r="57" ht="14.25" customHeight="1">
      <c r="C57" s="15"/>
    </row>
    <row r="58" ht="14.25" customHeight="1">
      <c r="C58" s="15"/>
    </row>
    <row r="59" ht="14.25" customHeight="1">
      <c r="C59" s="15"/>
    </row>
    <row r="60" ht="14.25" customHeight="1">
      <c r="C60" s="15"/>
    </row>
    <row r="61" ht="14.25" customHeight="1">
      <c r="C61" s="15"/>
    </row>
    <row r="62" ht="14.25" customHeight="1">
      <c r="C62" s="15"/>
    </row>
    <row r="63" ht="14.25" customHeight="1">
      <c r="C63" s="15"/>
    </row>
    <row r="64" ht="14.25" customHeight="1">
      <c r="C64" s="15"/>
    </row>
    <row r="65" ht="14.25" customHeight="1">
      <c r="C65" s="15"/>
    </row>
    <row r="66" ht="14.25" customHeight="1">
      <c r="C66" s="15"/>
    </row>
    <row r="67" ht="14.25" customHeight="1">
      <c r="C67" s="15"/>
    </row>
    <row r="68" ht="14.25" customHeight="1">
      <c r="C68" s="15"/>
    </row>
    <row r="69" ht="14.25" customHeight="1">
      <c r="C69" s="15"/>
    </row>
    <row r="70" ht="14.25" customHeight="1">
      <c r="C70" s="15"/>
    </row>
    <row r="71" ht="14.25" customHeight="1">
      <c r="C71" s="15"/>
    </row>
    <row r="72" ht="14.25" customHeight="1">
      <c r="C72" s="15"/>
    </row>
    <row r="73" ht="14.25" customHeight="1">
      <c r="C73" s="15"/>
    </row>
    <row r="74" ht="14.25" customHeight="1">
      <c r="C74" s="15"/>
    </row>
    <row r="75" ht="14.25" customHeight="1">
      <c r="C75" s="15"/>
    </row>
    <row r="76" ht="14.25" customHeight="1">
      <c r="C76" s="15"/>
    </row>
    <row r="77" ht="14.25" customHeight="1">
      <c r="C77" s="15"/>
    </row>
    <row r="78" ht="14.25" customHeight="1">
      <c r="C78" s="15"/>
    </row>
    <row r="79" ht="14.25" customHeight="1">
      <c r="C79" s="15"/>
    </row>
    <row r="80" ht="14.25" customHeight="1">
      <c r="C80" s="15"/>
    </row>
    <row r="81" ht="14.25" customHeight="1">
      <c r="C81" s="15"/>
    </row>
    <row r="82" ht="14.25" customHeight="1">
      <c r="C82" s="15"/>
    </row>
    <row r="83" ht="14.25" customHeight="1">
      <c r="C83" s="15"/>
    </row>
    <row r="84" ht="14.25" customHeight="1">
      <c r="C84" s="15"/>
    </row>
    <row r="85" ht="14.25" customHeight="1">
      <c r="C85" s="15"/>
    </row>
    <row r="86" ht="14.25" customHeight="1">
      <c r="C86" s="15"/>
    </row>
    <row r="87" ht="14.25" customHeight="1">
      <c r="C87" s="15"/>
    </row>
    <row r="88" ht="14.25" customHeight="1">
      <c r="C88" s="15"/>
    </row>
    <row r="89" ht="14.25" customHeight="1">
      <c r="C89" s="15"/>
    </row>
    <row r="90" ht="14.25" customHeight="1">
      <c r="C90" s="15"/>
    </row>
    <row r="91" ht="14.25" customHeight="1">
      <c r="C91" s="15"/>
    </row>
    <row r="92" ht="14.25" customHeight="1">
      <c r="C92" s="15"/>
    </row>
    <row r="93" ht="14.25" customHeight="1">
      <c r="C93" s="15"/>
    </row>
    <row r="94" ht="14.25" customHeight="1">
      <c r="C94" s="15"/>
    </row>
    <row r="95" ht="14.25" customHeight="1">
      <c r="C95" s="15"/>
    </row>
    <row r="96" ht="14.25" customHeight="1">
      <c r="C96" s="15"/>
    </row>
    <row r="97" ht="14.25" customHeight="1">
      <c r="C97" s="15"/>
    </row>
    <row r="98" ht="14.25" customHeight="1">
      <c r="C98" s="15"/>
    </row>
    <row r="99" ht="14.25" customHeight="1">
      <c r="C99" s="15"/>
    </row>
    <row r="100" ht="14.25" customHeight="1">
      <c r="C100" s="15"/>
    </row>
    <row r="101" ht="14.25" customHeight="1">
      <c r="C101" s="15"/>
    </row>
    <row r="102" ht="14.25" customHeight="1">
      <c r="C102" s="15"/>
    </row>
    <row r="103" ht="14.25" customHeight="1">
      <c r="C103" s="15"/>
    </row>
    <row r="104" ht="14.25" customHeight="1">
      <c r="C104" s="15"/>
    </row>
    <row r="105" ht="14.25" customHeight="1">
      <c r="C105" s="15"/>
    </row>
    <row r="106" ht="14.25" customHeight="1">
      <c r="C106" s="15"/>
    </row>
    <row r="107" ht="14.25" customHeight="1">
      <c r="C107" s="15"/>
    </row>
    <row r="108" ht="14.25" customHeight="1">
      <c r="C108" s="15"/>
    </row>
    <row r="109" ht="14.25" customHeight="1">
      <c r="C109" s="15"/>
    </row>
    <row r="110" ht="14.25" customHeight="1">
      <c r="C110" s="15"/>
    </row>
    <row r="111" ht="14.25" customHeight="1">
      <c r="C111" s="15"/>
    </row>
    <row r="112" ht="14.25" customHeight="1">
      <c r="C112" s="15"/>
    </row>
    <row r="113" ht="14.25" customHeight="1">
      <c r="C113" s="15"/>
    </row>
    <row r="114" ht="14.25" customHeight="1">
      <c r="C114" s="15"/>
    </row>
    <row r="115" ht="14.25" customHeight="1">
      <c r="C115" s="15"/>
    </row>
    <row r="116" ht="14.25" customHeight="1">
      <c r="C116" s="15"/>
    </row>
    <row r="117" ht="14.25" customHeight="1">
      <c r="C117" s="15"/>
    </row>
    <row r="118" ht="14.25" customHeight="1">
      <c r="C118" s="15"/>
    </row>
    <row r="119" ht="14.25" customHeight="1">
      <c r="C119" s="15"/>
    </row>
    <row r="120" ht="14.25" customHeight="1">
      <c r="C120" s="15"/>
    </row>
    <row r="121" ht="14.25" customHeight="1">
      <c r="C121" s="15"/>
    </row>
    <row r="122" ht="14.25" customHeight="1">
      <c r="C122" s="15"/>
    </row>
    <row r="123" ht="14.25" customHeight="1">
      <c r="C123" s="15"/>
    </row>
    <row r="124" ht="14.25" customHeight="1">
      <c r="C124" s="15"/>
    </row>
    <row r="125" ht="14.25" customHeight="1">
      <c r="C125" s="15"/>
    </row>
    <row r="126" ht="14.25" customHeight="1">
      <c r="C126" s="15"/>
    </row>
    <row r="127" ht="14.25" customHeight="1">
      <c r="C127" s="15"/>
    </row>
    <row r="128" ht="14.25" customHeight="1">
      <c r="C128" s="15"/>
    </row>
    <row r="129" ht="14.25" customHeight="1">
      <c r="C129" s="15"/>
    </row>
    <row r="130" ht="14.25" customHeight="1">
      <c r="C130" s="15"/>
    </row>
    <row r="131" ht="14.25" customHeight="1">
      <c r="C131" s="15"/>
    </row>
    <row r="132" ht="14.25" customHeight="1">
      <c r="C132" s="15"/>
    </row>
    <row r="133" ht="14.25" customHeight="1">
      <c r="C133" s="15"/>
    </row>
    <row r="134" ht="14.25" customHeight="1">
      <c r="C134" s="15"/>
    </row>
    <row r="135" ht="14.25" customHeight="1">
      <c r="C135" s="15"/>
    </row>
    <row r="136" ht="14.25" customHeight="1">
      <c r="C136" s="15"/>
    </row>
    <row r="137" ht="14.25" customHeight="1">
      <c r="C137" s="15"/>
    </row>
    <row r="138" ht="14.25" customHeight="1">
      <c r="C138" s="15"/>
    </row>
    <row r="139" ht="14.25" customHeight="1">
      <c r="C139" s="15"/>
    </row>
    <row r="140" ht="14.25" customHeight="1">
      <c r="C140" s="15"/>
    </row>
    <row r="141" ht="14.25" customHeight="1">
      <c r="C141" s="15"/>
    </row>
    <row r="142" ht="14.25" customHeight="1">
      <c r="C142" s="15"/>
    </row>
    <row r="143" ht="14.25" customHeight="1">
      <c r="C143" s="15"/>
    </row>
    <row r="144" ht="14.25" customHeight="1">
      <c r="C144" s="15"/>
    </row>
    <row r="145" ht="14.25" customHeight="1">
      <c r="C145" s="15"/>
    </row>
    <row r="146" ht="14.25" customHeight="1">
      <c r="C146" s="15"/>
    </row>
    <row r="147" ht="14.25" customHeight="1">
      <c r="C147" s="15"/>
    </row>
    <row r="148" ht="14.25" customHeight="1">
      <c r="C148" s="15"/>
    </row>
    <row r="149" ht="14.25" customHeight="1">
      <c r="C149" s="15"/>
    </row>
    <row r="150" ht="14.25" customHeight="1">
      <c r="C150" s="15"/>
    </row>
    <row r="151" ht="14.25" customHeight="1">
      <c r="C151" s="15"/>
    </row>
    <row r="152" ht="14.25" customHeight="1">
      <c r="C152" s="15"/>
    </row>
    <row r="153" ht="14.25" customHeight="1">
      <c r="C153" s="15"/>
    </row>
    <row r="154" ht="14.25" customHeight="1">
      <c r="C154" s="15"/>
    </row>
    <row r="155" ht="14.25" customHeight="1">
      <c r="C155" s="15"/>
    </row>
    <row r="156" ht="14.25" customHeight="1">
      <c r="C156" s="15"/>
    </row>
    <row r="157" ht="14.25" customHeight="1">
      <c r="C157" s="15"/>
    </row>
    <row r="158" ht="14.25" customHeight="1">
      <c r="C158" s="15"/>
    </row>
    <row r="159" ht="14.25" customHeight="1">
      <c r="C159" s="15"/>
    </row>
    <row r="160" ht="14.25" customHeight="1">
      <c r="C160" s="15"/>
    </row>
    <row r="161" ht="14.25" customHeight="1">
      <c r="C161" s="15"/>
    </row>
    <row r="162" ht="14.25" customHeight="1">
      <c r="C162" s="15"/>
    </row>
    <row r="163" ht="14.25" customHeight="1">
      <c r="C163" s="15"/>
    </row>
    <row r="164" ht="14.25" customHeight="1">
      <c r="C164" s="15"/>
    </row>
    <row r="165" ht="14.25" customHeight="1">
      <c r="C165" s="15"/>
    </row>
    <row r="166" ht="14.25" customHeight="1">
      <c r="C166" s="15"/>
    </row>
    <row r="167" ht="14.25" customHeight="1">
      <c r="C167" s="15"/>
    </row>
    <row r="168" ht="14.25" customHeight="1">
      <c r="C168" s="15"/>
    </row>
    <row r="169" ht="14.25" customHeight="1">
      <c r="C169" s="15"/>
    </row>
    <row r="170" ht="14.25" customHeight="1">
      <c r="C170" s="15"/>
    </row>
    <row r="171" ht="14.25" customHeight="1">
      <c r="C171" s="15"/>
    </row>
    <row r="172" ht="14.25" customHeight="1">
      <c r="C172" s="15"/>
    </row>
    <row r="173" ht="14.25" customHeight="1">
      <c r="C173" s="15"/>
    </row>
    <row r="174" ht="14.25" customHeight="1">
      <c r="C174" s="15"/>
    </row>
    <row r="175" ht="14.25" customHeight="1">
      <c r="C175" s="15"/>
    </row>
    <row r="176" ht="14.25" customHeight="1">
      <c r="C176" s="15"/>
    </row>
    <row r="177" ht="14.25" customHeight="1">
      <c r="C177" s="15"/>
    </row>
    <row r="178" ht="14.25" customHeight="1">
      <c r="C178" s="15"/>
    </row>
    <row r="179" ht="14.25" customHeight="1">
      <c r="C179" s="15"/>
    </row>
    <row r="180" ht="14.25" customHeight="1">
      <c r="C180" s="15"/>
    </row>
    <row r="181" ht="14.25" customHeight="1">
      <c r="C181" s="15"/>
    </row>
    <row r="182" ht="14.25" customHeight="1">
      <c r="C182" s="15"/>
    </row>
    <row r="183" ht="14.25" customHeight="1">
      <c r="C183" s="15"/>
    </row>
    <row r="184" ht="14.25" customHeight="1">
      <c r="C184" s="15"/>
    </row>
    <row r="185" ht="14.25" customHeight="1">
      <c r="C185" s="15"/>
    </row>
    <row r="186" ht="14.25" customHeight="1">
      <c r="C186" s="15"/>
    </row>
    <row r="187" ht="14.25" customHeight="1">
      <c r="C187" s="15"/>
    </row>
    <row r="188" ht="14.25" customHeight="1">
      <c r="C188" s="15"/>
    </row>
    <row r="189" ht="14.25" customHeight="1">
      <c r="C189" s="15"/>
    </row>
    <row r="190" ht="14.25" customHeight="1">
      <c r="C190" s="15"/>
    </row>
    <row r="191" ht="14.25" customHeight="1">
      <c r="C191" s="15"/>
    </row>
    <row r="192" ht="14.25" customHeight="1">
      <c r="C192" s="15"/>
    </row>
    <row r="193" ht="14.25" customHeight="1">
      <c r="C193" s="15"/>
    </row>
    <row r="194" ht="14.25" customHeight="1">
      <c r="C194" s="15"/>
    </row>
    <row r="195" ht="14.25" customHeight="1">
      <c r="C195" s="15"/>
    </row>
    <row r="196" ht="14.25" customHeight="1">
      <c r="C196" s="15"/>
    </row>
    <row r="197" ht="14.25" customHeight="1">
      <c r="C197" s="15"/>
    </row>
    <row r="198" ht="14.25" customHeight="1">
      <c r="C198" s="15"/>
    </row>
    <row r="199" ht="14.25" customHeight="1">
      <c r="C199" s="15"/>
    </row>
    <row r="200" ht="14.25" customHeight="1">
      <c r="C200" s="15"/>
    </row>
    <row r="201" ht="14.25" customHeight="1">
      <c r="C201" s="15"/>
    </row>
    <row r="202" ht="14.25" customHeight="1">
      <c r="C202" s="15"/>
    </row>
    <row r="203" ht="14.25" customHeight="1">
      <c r="C203" s="15"/>
    </row>
    <row r="204" ht="14.25" customHeight="1">
      <c r="C204" s="15"/>
    </row>
    <row r="205" ht="14.25" customHeight="1">
      <c r="C205" s="15"/>
    </row>
    <row r="206" ht="14.25" customHeight="1">
      <c r="C206" s="15"/>
    </row>
    <row r="207" ht="14.25" customHeight="1">
      <c r="C207" s="15"/>
    </row>
    <row r="208" ht="14.25" customHeight="1">
      <c r="C208" s="15"/>
    </row>
    <row r="209" ht="14.25" customHeight="1">
      <c r="C209" s="15"/>
    </row>
    <row r="210" ht="14.25" customHeight="1">
      <c r="C210" s="15"/>
    </row>
    <row r="211" ht="14.25" customHeight="1">
      <c r="C211" s="15"/>
    </row>
    <row r="212" ht="14.25" customHeight="1">
      <c r="C212" s="15"/>
    </row>
    <row r="213" ht="14.25" customHeight="1">
      <c r="C213" s="15"/>
    </row>
    <row r="214" ht="14.25" customHeight="1">
      <c r="C214" s="15"/>
    </row>
    <row r="215" ht="14.25" customHeight="1">
      <c r="C215" s="15"/>
    </row>
    <row r="216" ht="14.25" customHeight="1">
      <c r="C216" s="15"/>
    </row>
    <row r="217" ht="14.25" customHeight="1">
      <c r="C217" s="15"/>
    </row>
    <row r="218" ht="14.25" customHeight="1">
      <c r="C218" s="15"/>
    </row>
    <row r="219" ht="14.25" customHeight="1">
      <c r="C219" s="15"/>
    </row>
    <row r="220" ht="14.25" customHeight="1">
      <c r="C220" s="15"/>
    </row>
    <row r="221" ht="14.25" customHeight="1">
      <c r="C221" s="15"/>
    </row>
    <row r="222" ht="14.25" customHeight="1">
      <c r="C222" s="15"/>
    </row>
    <row r="223" ht="14.25" customHeight="1">
      <c r="C223" s="15"/>
    </row>
    <row r="224" ht="14.25" customHeight="1">
      <c r="C224" s="15"/>
    </row>
    <row r="225" ht="14.25" customHeight="1">
      <c r="C225" s="15"/>
    </row>
    <row r="226" ht="14.25" customHeight="1">
      <c r="C226" s="15"/>
    </row>
    <row r="227" ht="14.25" customHeight="1">
      <c r="C227" s="15"/>
    </row>
    <row r="228" ht="14.25" customHeight="1">
      <c r="C228" s="15"/>
    </row>
    <row r="229" ht="14.25" customHeight="1">
      <c r="C229" s="15"/>
    </row>
    <row r="230" ht="14.25" customHeight="1">
      <c r="C230" s="15"/>
    </row>
    <row r="231" ht="14.25" customHeight="1">
      <c r="C231" s="15"/>
    </row>
    <row r="232" ht="14.25" customHeight="1">
      <c r="C232" s="15"/>
    </row>
    <row r="233" ht="14.25" customHeight="1">
      <c r="C233" s="15"/>
    </row>
    <row r="234" ht="14.25" customHeight="1">
      <c r="C234" s="15"/>
    </row>
    <row r="235" ht="14.25" customHeight="1">
      <c r="C235" s="15"/>
    </row>
    <row r="236" ht="14.25" customHeight="1">
      <c r="C236" s="15"/>
    </row>
    <row r="237" ht="14.25" customHeight="1">
      <c r="C237" s="15"/>
    </row>
    <row r="238" ht="14.25" customHeight="1">
      <c r="C238" s="15"/>
    </row>
    <row r="239" ht="14.25" customHeight="1">
      <c r="C239" s="15"/>
    </row>
    <row r="240" ht="14.25" customHeight="1">
      <c r="C240" s="15"/>
    </row>
    <row r="241" ht="14.25" customHeight="1">
      <c r="C241" s="15"/>
    </row>
    <row r="242" ht="14.25" customHeight="1">
      <c r="C242" s="15"/>
    </row>
    <row r="243" ht="14.25" customHeight="1">
      <c r="C243" s="15"/>
    </row>
    <row r="244" ht="14.25" customHeight="1">
      <c r="C244" s="15"/>
    </row>
    <row r="245" ht="14.25" customHeight="1">
      <c r="C245" s="15"/>
    </row>
    <row r="246" ht="14.25" customHeight="1">
      <c r="C246" s="15"/>
    </row>
    <row r="247" ht="14.25" customHeight="1">
      <c r="C247" s="15"/>
    </row>
    <row r="248" ht="14.25" customHeight="1">
      <c r="C248" s="15"/>
    </row>
    <row r="249" ht="14.25" customHeight="1">
      <c r="C249" s="15"/>
    </row>
    <row r="250" ht="14.25" customHeight="1">
      <c r="C250" s="15"/>
    </row>
    <row r="251" ht="14.25" customHeight="1">
      <c r="C251" s="15"/>
    </row>
    <row r="252" ht="14.25" customHeight="1">
      <c r="C252" s="15"/>
    </row>
    <row r="253" ht="14.25" customHeight="1">
      <c r="C253" s="15"/>
    </row>
    <row r="254" ht="14.25" customHeight="1">
      <c r="C254" s="15"/>
    </row>
    <row r="255" ht="14.25" customHeight="1">
      <c r="C255" s="15"/>
    </row>
    <row r="256" ht="14.25" customHeight="1">
      <c r="C256" s="15"/>
    </row>
    <row r="257" ht="14.25" customHeight="1">
      <c r="C257" s="15"/>
    </row>
    <row r="258" ht="14.25" customHeight="1">
      <c r="C258" s="15"/>
    </row>
    <row r="259" ht="14.25" customHeight="1">
      <c r="C259" s="15"/>
    </row>
    <row r="260" ht="14.25" customHeight="1">
      <c r="C260" s="15"/>
    </row>
    <row r="261" ht="14.25" customHeight="1">
      <c r="C261" s="15"/>
    </row>
    <row r="262" ht="14.25" customHeight="1">
      <c r="C262" s="15"/>
    </row>
    <row r="263" ht="14.25" customHeight="1">
      <c r="C263" s="15"/>
    </row>
    <row r="264" ht="14.25" customHeight="1">
      <c r="C264" s="15"/>
    </row>
    <row r="265" ht="14.25" customHeight="1">
      <c r="C265" s="15"/>
    </row>
    <row r="266" ht="14.25" customHeight="1">
      <c r="C266" s="15"/>
    </row>
    <row r="267" ht="14.25" customHeight="1">
      <c r="C267" s="15"/>
    </row>
    <row r="268" ht="14.25" customHeight="1">
      <c r="C268" s="15"/>
    </row>
    <row r="269" ht="14.25" customHeight="1">
      <c r="C269" s="15"/>
    </row>
    <row r="270" ht="14.25" customHeight="1">
      <c r="C270" s="15"/>
    </row>
    <row r="271" ht="14.25" customHeight="1">
      <c r="C271" s="15"/>
    </row>
    <row r="272" ht="14.25" customHeight="1">
      <c r="C272" s="15"/>
    </row>
    <row r="273" ht="14.25" customHeight="1">
      <c r="C273" s="15"/>
    </row>
    <row r="274" ht="14.25" customHeight="1">
      <c r="C274" s="15"/>
    </row>
    <row r="275" ht="14.25" customHeight="1">
      <c r="C275" s="15"/>
    </row>
    <row r="276" ht="14.25" customHeight="1">
      <c r="C276" s="15"/>
    </row>
    <row r="277" ht="14.25" customHeight="1">
      <c r="C277" s="15"/>
    </row>
    <row r="278" ht="14.25" customHeight="1">
      <c r="C278" s="15"/>
    </row>
    <row r="279" ht="14.25" customHeight="1">
      <c r="C279" s="15"/>
    </row>
    <row r="280" ht="14.25" customHeight="1">
      <c r="C280" s="15"/>
    </row>
    <row r="281" ht="14.25" customHeight="1">
      <c r="C281" s="15"/>
    </row>
    <row r="282" ht="14.25" customHeight="1">
      <c r="C282" s="15"/>
    </row>
    <row r="283" ht="14.25" customHeight="1">
      <c r="C283" s="15"/>
    </row>
    <row r="284" ht="14.25" customHeight="1">
      <c r="C284" s="15"/>
    </row>
    <row r="285" ht="14.25" customHeight="1">
      <c r="C285" s="15"/>
    </row>
    <row r="286" ht="14.25" customHeight="1">
      <c r="C286" s="15"/>
    </row>
    <row r="287" ht="14.25" customHeight="1">
      <c r="C287" s="15"/>
    </row>
    <row r="288" ht="14.25" customHeight="1">
      <c r="C288" s="15"/>
    </row>
    <row r="289" ht="14.25" customHeight="1">
      <c r="C289" s="15"/>
    </row>
    <row r="290" ht="14.25" customHeight="1">
      <c r="C290" s="15"/>
    </row>
    <row r="291" ht="14.25" customHeight="1">
      <c r="C291" s="15"/>
    </row>
    <row r="292" ht="14.25" customHeight="1">
      <c r="C292" s="15"/>
    </row>
    <row r="293" ht="14.25" customHeight="1">
      <c r="C293" s="15"/>
    </row>
    <row r="294" ht="14.25" customHeight="1">
      <c r="C294" s="15"/>
    </row>
    <row r="295" ht="14.25" customHeight="1">
      <c r="C295" s="15"/>
    </row>
    <row r="296" ht="14.25" customHeight="1">
      <c r="C296" s="15"/>
    </row>
    <row r="297" ht="14.25" customHeight="1">
      <c r="C297" s="15"/>
    </row>
    <row r="298" ht="14.25" customHeight="1">
      <c r="C298" s="15"/>
    </row>
    <row r="299" ht="14.25" customHeight="1">
      <c r="C299" s="15"/>
    </row>
    <row r="300" ht="14.25" customHeight="1">
      <c r="C300" s="15"/>
    </row>
    <row r="301" ht="14.25" customHeight="1">
      <c r="C301" s="15"/>
    </row>
    <row r="302" ht="14.25" customHeight="1">
      <c r="C302" s="15"/>
    </row>
    <row r="303" ht="14.25" customHeight="1">
      <c r="C303" s="15"/>
    </row>
    <row r="304" ht="14.25" customHeight="1">
      <c r="C304" s="15"/>
    </row>
    <row r="305" ht="14.25" customHeight="1">
      <c r="C305" s="15"/>
    </row>
    <row r="306" ht="14.25" customHeight="1">
      <c r="C306" s="15"/>
    </row>
    <row r="307" ht="14.25" customHeight="1">
      <c r="C307" s="15"/>
    </row>
    <row r="308" ht="14.25" customHeight="1">
      <c r="C308" s="15"/>
    </row>
    <row r="309" ht="14.25" customHeight="1">
      <c r="C309" s="15"/>
    </row>
    <row r="310" ht="14.25" customHeight="1">
      <c r="C310" s="15"/>
    </row>
    <row r="311" ht="14.25" customHeight="1">
      <c r="C311" s="15"/>
    </row>
    <row r="312" ht="14.25" customHeight="1">
      <c r="C312" s="15"/>
    </row>
    <row r="313" ht="14.25" customHeight="1">
      <c r="C313" s="15"/>
    </row>
    <row r="314" ht="14.25" customHeight="1">
      <c r="C314" s="15"/>
    </row>
    <row r="315" ht="14.25" customHeight="1">
      <c r="C315" s="15"/>
    </row>
    <row r="316" ht="14.25" customHeight="1">
      <c r="C316" s="15"/>
    </row>
    <row r="317" ht="14.25" customHeight="1">
      <c r="C317" s="15"/>
    </row>
    <row r="318" ht="14.25" customHeight="1">
      <c r="C318" s="15"/>
    </row>
    <row r="319" ht="14.25" customHeight="1">
      <c r="C319" s="15"/>
    </row>
    <row r="320" ht="14.25" customHeight="1">
      <c r="C320" s="15"/>
    </row>
    <row r="321" ht="14.25" customHeight="1">
      <c r="C321" s="15"/>
    </row>
    <row r="322" ht="14.25" customHeight="1">
      <c r="C322" s="15"/>
    </row>
    <row r="323" ht="14.25" customHeight="1">
      <c r="C323" s="15"/>
    </row>
    <row r="324" ht="14.25" customHeight="1">
      <c r="C324" s="15"/>
    </row>
    <row r="325" ht="14.25" customHeight="1">
      <c r="C325" s="15"/>
    </row>
    <row r="326" ht="14.25" customHeight="1">
      <c r="C326" s="15"/>
    </row>
    <row r="327" ht="14.25" customHeight="1">
      <c r="C327" s="15"/>
    </row>
    <row r="328" ht="14.25" customHeight="1">
      <c r="C328" s="15"/>
    </row>
    <row r="329" ht="14.25" customHeight="1">
      <c r="C329" s="15"/>
    </row>
    <row r="330" ht="14.25" customHeight="1">
      <c r="C330" s="15"/>
    </row>
    <row r="331" ht="14.25" customHeight="1">
      <c r="C331" s="15"/>
    </row>
    <row r="332" ht="14.25" customHeight="1">
      <c r="C332" s="15"/>
    </row>
    <row r="333" ht="14.25" customHeight="1">
      <c r="C333" s="15"/>
    </row>
    <row r="334" ht="14.25" customHeight="1">
      <c r="C334" s="15"/>
    </row>
    <row r="335" ht="14.25" customHeight="1">
      <c r="C335" s="15"/>
    </row>
    <row r="336" ht="14.25" customHeight="1">
      <c r="C336" s="15"/>
    </row>
    <row r="337" ht="14.25" customHeight="1">
      <c r="C337" s="15"/>
    </row>
    <row r="338" ht="14.25" customHeight="1">
      <c r="C338" s="15"/>
    </row>
    <row r="339" ht="14.25" customHeight="1">
      <c r="C339" s="15"/>
    </row>
    <row r="340" ht="14.25" customHeight="1">
      <c r="C340" s="15"/>
    </row>
    <row r="341" ht="14.25" customHeight="1">
      <c r="C341" s="15"/>
    </row>
    <row r="342" ht="14.25" customHeight="1">
      <c r="C342" s="15"/>
    </row>
    <row r="343" ht="14.25" customHeight="1">
      <c r="C343" s="15"/>
    </row>
    <row r="344" ht="14.25" customHeight="1">
      <c r="C344" s="15"/>
    </row>
    <row r="345" ht="14.25" customHeight="1">
      <c r="C345" s="15"/>
    </row>
    <row r="346" ht="14.25" customHeight="1">
      <c r="C346" s="15"/>
    </row>
    <row r="347" ht="14.25" customHeight="1">
      <c r="C347" s="15"/>
    </row>
    <row r="348" ht="14.25" customHeight="1">
      <c r="C348" s="15"/>
    </row>
    <row r="349" ht="14.25" customHeight="1">
      <c r="C349" s="15"/>
    </row>
    <row r="350" ht="14.25" customHeight="1">
      <c r="C350" s="15"/>
    </row>
    <row r="351" ht="14.25" customHeight="1">
      <c r="C351" s="15"/>
    </row>
    <row r="352" ht="14.25" customHeight="1">
      <c r="C352" s="15"/>
    </row>
    <row r="353" ht="14.25" customHeight="1">
      <c r="C353" s="15"/>
    </row>
    <row r="354" ht="14.25" customHeight="1">
      <c r="C354" s="15"/>
    </row>
    <row r="355" ht="14.25" customHeight="1">
      <c r="C355" s="15"/>
    </row>
    <row r="356" ht="14.25" customHeight="1">
      <c r="C356" s="15"/>
    </row>
    <row r="357" ht="14.25" customHeight="1">
      <c r="C357" s="15"/>
    </row>
    <row r="358" ht="14.25" customHeight="1">
      <c r="C358" s="15"/>
    </row>
    <row r="359" ht="14.25" customHeight="1">
      <c r="C359" s="15"/>
    </row>
    <row r="360" ht="14.25" customHeight="1">
      <c r="C360" s="15"/>
    </row>
    <row r="361" ht="14.25" customHeight="1">
      <c r="C361" s="15"/>
    </row>
    <row r="362" ht="14.25" customHeight="1">
      <c r="C362" s="15"/>
    </row>
    <row r="363" ht="14.25" customHeight="1">
      <c r="C363" s="15"/>
    </row>
    <row r="364" ht="14.25" customHeight="1">
      <c r="C364" s="15"/>
    </row>
    <row r="365" ht="14.25" customHeight="1">
      <c r="C365" s="15"/>
    </row>
    <row r="366" ht="14.25" customHeight="1">
      <c r="C366" s="15"/>
    </row>
    <row r="367" ht="14.25" customHeight="1">
      <c r="C367" s="15"/>
    </row>
    <row r="368" ht="14.25" customHeight="1">
      <c r="C368" s="15"/>
    </row>
    <row r="369" ht="14.25" customHeight="1">
      <c r="C369" s="15"/>
    </row>
    <row r="370" ht="14.25" customHeight="1">
      <c r="C370" s="15"/>
    </row>
    <row r="371" ht="14.25" customHeight="1">
      <c r="C371" s="15"/>
    </row>
    <row r="372" ht="14.25" customHeight="1">
      <c r="C372" s="15"/>
    </row>
    <row r="373" ht="14.25" customHeight="1">
      <c r="C373" s="15"/>
    </row>
    <row r="374" ht="14.25" customHeight="1">
      <c r="C374" s="15"/>
    </row>
    <row r="375" ht="14.25" customHeight="1">
      <c r="C375" s="15"/>
    </row>
    <row r="376" ht="14.25" customHeight="1">
      <c r="C376" s="15"/>
    </row>
    <row r="377" ht="14.25" customHeight="1">
      <c r="C377" s="15"/>
    </row>
    <row r="378" ht="14.25" customHeight="1">
      <c r="C378" s="15"/>
    </row>
    <row r="379" ht="14.25" customHeight="1">
      <c r="C379" s="15"/>
    </row>
    <row r="380" ht="14.25" customHeight="1">
      <c r="C380" s="15"/>
    </row>
    <row r="381" ht="14.25" customHeight="1">
      <c r="C381" s="15"/>
    </row>
    <row r="382" ht="14.25" customHeight="1">
      <c r="C382" s="15"/>
    </row>
    <row r="383" ht="14.25" customHeight="1">
      <c r="C383" s="15"/>
    </row>
    <row r="384" ht="14.25" customHeight="1">
      <c r="C384" s="15"/>
    </row>
    <row r="385" ht="14.25" customHeight="1">
      <c r="C385" s="15"/>
    </row>
    <row r="386" ht="14.25" customHeight="1">
      <c r="C386" s="15"/>
    </row>
    <row r="387" ht="14.25" customHeight="1">
      <c r="C387" s="15"/>
    </row>
    <row r="388" ht="14.25" customHeight="1">
      <c r="C388" s="15"/>
    </row>
    <row r="389" ht="14.25" customHeight="1">
      <c r="C389" s="15"/>
    </row>
    <row r="390" ht="14.25" customHeight="1">
      <c r="C390" s="15"/>
    </row>
    <row r="391" ht="14.25" customHeight="1">
      <c r="C391" s="15"/>
    </row>
    <row r="392" ht="14.25" customHeight="1">
      <c r="C392" s="15"/>
    </row>
    <row r="393" ht="14.25" customHeight="1">
      <c r="C393" s="15"/>
    </row>
    <row r="394" ht="14.25" customHeight="1">
      <c r="C394" s="15"/>
    </row>
    <row r="395" ht="14.25" customHeight="1">
      <c r="C395" s="15"/>
    </row>
    <row r="396" ht="14.25" customHeight="1">
      <c r="C396" s="15"/>
    </row>
    <row r="397" ht="14.25" customHeight="1">
      <c r="C397" s="15"/>
    </row>
    <row r="398" ht="14.25" customHeight="1">
      <c r="C398" s="15"/>
    </row>
    <row r="399" ht="14.25" customHeight="1">
      <c r="C399" s="15"/>
    </row>
    <row r="400" ht="14.25" customHeight="1">
      <c r="C400" s="15"/>
    </row>
    <row r="401" ht="14.25" customHeight="1">
      <c r="C401" s="15"/>
    </row>
    <row r="402" ht="14.25" customHeight="1">
      <c r="C402" s="15"/>
    </row>
    <row r="403" ht="14.25" customHeight="1">
      <c r="C403" s="15"/>
    </row>
    <row r="404" ht="14.25" customHeight="1">
      <c r="C404" s="15"/>
    </row>
    <row r="405" ht="14.25" customHeight="1">
      <c r="C405" s="15"/>
    </row>
    <row r="406" ht="14.25" customHeight="1">
      <c r="C406" s="15"/>
    </row>
    <row r="407" ht="14.25" customHeight="1">
      <c r="C407" s="15"/>
    </row>
    <row r="408" ht="14.25" customHeight="1">
      <c r="C408" s="15"/>
    </row>
    <row r="409" ht="14.25" customHeight="1">
      <c r="C409" s="15"/>
    </row>
    <row r="410" ht="14.25" customHeight="1">
      <c r="C410" s="15"/>
    </row>
    <row r="411" ht="14.25" customHeight="1">
      <c r="C411" s="15"/>
    </row>
    <row r="412" ht="14.25" customHeight="1">
      <c r="C412" s="15"/>
    </row>
    <row r="413" ht="14.25" customHeight="1">
      <c r="C413" s="15"/>
    </row>
    <row r="414" ht="14.25" customHeight="1">
      <c r="C414" s="15"/>
    </row>
    <row r="415" ht="14.25" customHeight="1">
      <c r="C415" s="15"/>
    </row>
    <row r="416" ht="14.25" customHeight="1">
      <c r="C416" s="15"/>
    </row>
    <row r="417" ht="14.25" customHeight="1">
      <c r="C417" s="15"/>
    </row>
    <row r="418" ht="14.25" customHeight="1">
      <c r="C418" s="15"/>
    </row>
    <row r="419" ht="14.25" customHeight="1">
      <c r="C419" s="15"/>
    </row>
    <row r="420" ht="14.25" customHeight="1">
      <c r="C420" s="15"/>
    </row>
    <row r="421" ht="14.25" customHeight="1">
      <c r="C421" s="15"/>
    </row>
    <row r="422" ht="14.25" customHeight="1">
      <c r="C422" s="15"/>
    </row>
    <row r="423" ht="14.25" customHeight="1">
      <c r="C423" s="15"/>
    </row>
    <row r="424" ht="14.25" customHeight="1">
      <c r="C424" s="15"/>
    </row>
    <row r="425" ht="14.25" customHeight="1">
      <c r="C425" s="15"/>
    </row>
    <row r="426" ht="14.25" customHeight="1">
      <c r="C426" s="15"/>
    </row>
    <row r="427" ht="14.25" customHeight="1">
      <c r="C427" s="15"/>
    </row>
    <row r="428" ht="14.25" customHeight="1">
      <c r="C428" s="15"/>
    </row>
    <row r="429" ht="14.25" customHeight="1">
      <c r="C429" s="15"/>
    </row>
    <row r="430" ht="14.25" customHeight="1">
      <c r="C430" s="15"/>
    </row>
    <row r="431" ht="14.25" customHeight="1">
      <c r="C431" s="15"/>
    </row>
    <row r="432" ht="14.25" customHeight="1">
      <c r="C432" s="15"/>
    </row>
    <row r="433" ht="14.25" customHeight="1">
      <c r="C433" s="15"/>
    </row>
    <row r="434" ht="14.25" customHeight="1">
      <c r="C434" s="15"/>
    </row>
    <row r="435" ht="14.25" customHeight="1">
      <c r="C435" s="15"/>
    </row>
    <row r="436" ht="14.25" customHeight="1">
      <c r="C436" s="15"/>
    </row>
    <row r="437" ht="14.25" customHeight="1">
      <c r="C437" s="15"/>
    </row>
    <row r="438" ht="14.25" customHeight="1">
      <c r="C438" s="15"/>
    </row>
    <row r="439" ht="14.25" customHeight="1">
      <c r="C439" s="15"/>
    </row>
    <row r="440" ht="14.25" customHeight="1">
      <c r="C440" s="15"/>
    </row>
    <row r="441" ht="14.25" customHeight="1">
      <c r="C441" s="15"/>
    </row>
    <row r="442" ht="14.25" customHeight="1">
      <c r="C442" s="15"/>
    </row>
    <row r="443" ht="14.25" customHeight="1">
      <c r="C443" s="15"/>
    </row>
    <row r="444" ht="14.25" customHeight="1">
      <c r="C444" s="15"/>
    </row>
    <row r="445" ht="14.25" customHeight="1">
      <c r="C445" s="15"/>
    </row>
    <row r="446" ht="14.25" customHeight="1">
      <c r="C446" s="15"/>
    </row>
    <row r="447" ht="14.25" customHeight="1">
      <c r="C447" s="15"/>
    </row>
    <row r="448" ht="14.25" customHeight="1">
      <c r="C448" s="15"/>
    </row>
    <row r="449" ht="14.25" customHeight="1">
      <c r="C449" s="15"/>
    </row>
    <row r="450" ht="14.25" customHeight="1">
      <c r="C450" s="15"/>
    </row>
    <row r="451" ht="14.25" customHeight="1">
      <c r="C451" s="15"/>
    </row>
    <row r="452" ht="14.25" customHeight="1">
      <c r="C452" s="15"/>
    </row>
    <row r="453" ht="14.25" customHeight="1">
      <c r="C453" s="15"/>
    </row>
    <row r="454" ht="14.25" customHeight="1">
      <c r="C454" s="15"/>
    </row>
    <row r="455" ht="14.25" customHeight="1">
      <c r="C455" s="15"/>
    </row>
    <row r="456" ht="14.25" customHeight="1">
      <c r="C456" s="15"/>
    </row>
    <row r="457" ht="14.25" customHeight="1">
      <c r="C457" s="15"/>
    </row>
    <row r="458" ht="14.25" customHeight="1">
      <c r="C458" s="15"/>
    </row>
    <row r="459" ht="14.25" customHeight="1">
      <c r="C459" s="15"/>
    </row>
    <row r="460" ht="14.25" customHeight="1">
      <c r="C460" s="15"/>
    </row>
    <row r="461" ht="14.25" customHeight="1">
      <c r="C461" s="15"/>
    </row>
    <row r="462" ht="14.25" customHeight="1">
      <c r="C462" s="15"/>
    </row>
    <row r="463" ht="14.25" customHeight="1">
      <c r="C463" s="15"/>
    </row>
    <row r="464" ht="14.25" customHeight="1">
      <c r="C464" s="15"/>
    </row>
    <row r="465" ht="14.25" customHeight="1">
      <c r="C465" s="15"/>
    </row>
    <row r="466" ht="14.25" customHeight="1">
      <c r="C466" s="15"/>
    </row>
    <row r="467" ht="14.25" customHeight="1">
      <c r="C467" s="15"/>
    </row>
    <row r="468" ht="14.25" customHeight="1">
      <c r="C468" s="15"/>
    </row>
    <row r="469" ht="14.25" customHeight="1">
      <c r="C469" s="15"/>
    </row>
    <row r="470" ht="14.25" customHeight="1">
      <c r="C470" s="15"/>
    </row>
    <row r="471" ht="14.25" customHeight="1">
      <c r="C471" s="15"/>
    </row>
    <row r="472" ht="14.25" customHeight="1">
      <c r="C472" s="15"/>
    </row>
    <row r="473" ht="14.25" customHeight="1">
      <c r="C473" s="15"/>
    </row>
    <row r="474" ht="14.25" customHeight="1">
      <c r="C474" s="15"/>
    </row>
    <row r="475" ht="14.25" customHeight="1">
      <c r="C475" s="15"/>
    </row>
    <row r="476" ht="14.25" customHeight="1">
      <c r="C476" s="15"/>
    </row>
    <row r="477" ht="14.25" customHeight="1">
      <c r="C477" s="15"/>
    </row>
    <row r="478" ht="14.25" customHeight="1">
      <c r="C478" s="15"/>
    </row>
    <row r="479" ht="14.25" customHeight="1">
      <c r="C479" s="15"/>
    </row>
    <row r="480" ht="14.25" customHeight="1">
      <c r="C480" s="15"/>
    </row>
    <row r="481" ht="14.25" customHeight="1">
      <c r="C481" s="15"/>
    </row>
    <row r="482" ht="14.25" customHeight="1">
      <c r="C482" s="15"/>
    </row>
    <row r="483" ht="14.25" customHeight="1">
      <c r="C483" s="15"/>
    </row>
    <row r="484" ht="14.25" customHeight="1">
      <c r="C484" s="15"/>
    </row>
    <row r="485" ht="14.25" customHeight="1">
      <c r="C485" s="15"/>
    </row>
    <row r="486" ht="14.25" customHeight="1">
      <c r="C486" s="15"/>
    </row>
    <row r="487" ht="14.25" customHeight="1">
      <c r="C487" s="15"/>
    </row>
    <row r="488" ht="14.25" customHeight="1">
      <c r="C488" s="15"/>
    </row>
    <row r="489" ht="14.25" customHeight="1">
      <c r="C489" s="15"/>
    </row>
    <row r="490" ht="14.25" customHeight="1">
      <c r="C490" s="15"/>
    </row>
    <row r="491" ht="14.25" customHeight="1">
      <c r="C491" s="15"/>
    </row>
    <row r="492" ht="14.25" customHeight="1">
      <c r="C492" s="15"/>
    </row>
    <row r="493" ht="14.25" customHeight="1">
      <c r="C493" s="15"/>
    </row>
    <row r="494" ht="14.25" customHeight="1">
      <c r="C494" s="15"/>
    </row>
    <row r="495" ht="14.25" customHeight="1">
      <c r="C495" s="15"/>
    </row>
    <row r="496" ht="14.25" customHeight="1">
      <c r="C496" s="15"/>
    </row>
    <row r="497" ht="14.25" customHeight="1">
      <c r="C497" s="15"/>
    </row>
    <row r="498" ht="14.25" customHeight="1">
      <c r="C498" s="15"/>
    </row>
    <row r="499" ht="14.25" customHeight="1">
      <c r="C499" s="15"/>
    </row>
    <row r="500" ht="14.25" customHeight="1">
      <c r="C500" s="15"/>
    </row>
    <row r="501" ht="14.25" customHeight="1">
      <c r="C501" s="15"/>
    </row>
    <row r="502" ht="14.25" customHeight="1">
      <c r="C502" s="15"/>
    </row>
    <row r="503" ht="14.25" customHeight="1">
      <c r="C503" s="15"/>
    </row>
    <row r="504" ht="14.25" customHeight="1">
      <c r="C504" s="15"/>
    </row>
    <row r="505" ht="14.25" customHeight="1">
      <c r="C505" s="15"/>
    </row>
    <row r="506" ht="14.25" customHeight="1">
      <c r="C506" s="15"/>
    </row>
    <row r="507" ht="14.25" customHeight="1">
      <c r="C507" s="15"/>
    </row>
    <row r="508" ht="14.25" customHeight="1">
      <c r="C508" s="15"/>
    </row>
    <row r="509" ht="14.25" customHeight="1">
      <c r="C509" s="15"/>
    </row>
    <row r="510" ht="14.25" customHeight="1">
      <c r="C510" s="15"/>
    </row>
    <row r="511" ht="14.25" customHeight="1">
      <c r="C511" s="15"/>
    </row>
    <row r="512" ht="14.25" customHeight="1">
      <c r="C512" s="15"/>
    </row>
    <row r="513" ht="14.25" customHeight="1">
      <c r="C513" s="15"/>
    </row>
    <row r="514" ht="14.25" customHeight="1">
      <c r="C514" s="15"/>
    </row>
    <row r="515" ht="14.25" customHeight="1">
      <c r="C515" s="15"/>
    </row>
    <row r="516" ht="14.25" customHeight="1">
      <c r="C516" s="15"/>
    </row>
    <row r="517" ht="14.25" customHeight="1">
      <c r="C517" s="15"/>
    </row>
    <row r="518" ht="14.25" customHeight="1">
      <c r="C518" s="15"/>
    </row>
    <row r="519" ht="14.25" customHeight="1">
      <c r="C519" s="15"/>
    </row>
    <row r="520" ht="14.25" customHeight="1">
      <c r="C520" s="15"/>
    </row>
    <row r="521" ht="14.25" customHeight="1">
      <c r="C521" s="15"/>
    </row>
    <row r="522" ht="14.25" customHeight="1">
      <c r="C522" s="15"/>
    </row>
    <row r="523" ht="14.25" customHeight="1">
      <c r="C523" s="15"/>
    </row>
    <row r="524" ht="14.25" customHeight="1">
      <c r="C524" s="15"/>
    </row>
    <row r="525" ht="14.25" customHeight="1">
      <c r="C525" s="15"/>
    </row>
    <row r="526" ht="14.25" customHeight="1">
      <c r="C526" s="15"/>
    </row>
    <row r="527" ht="14.25" customHeight="1">
      <c r="C527" s="15"/>
    </row>
    <row r="528" ht="14.25" customHeight="1">
      <c r="C528" s="15"/>
    </row>
    <row r="529" ht="14.25" customHeight="1">
      <c r="C529" s="15"/>
    </row>
    <row r="530" ht="14.25" customHeight="1">
      <c r="C530" s="15"/>
    </row>
    <row r="531" ht="14.25" customHeight="1">
      <c r="C531" s="15"/>
    </row>
    <row r="532" ht="14.25" customHeight="1">
      <c r="C532" s="15"/>
    </row>
    <row r="533" ht="14.25" customHeight="1">
      <c r="C533" s="15"/>
    </row>
    <row r="534" ht="14.25" customHeight="1">
      <c r="C534" s="15"/>
    </row>
    <row r="535" ht="14.25" customHeight="1">
      <c r="C535" s="15"/>
    </row>
    <row r="536" ht="14.25" customHeight="1">
      <c r="C536" s="15"/>
    </row>
    <row r="537" ht="14.25" customHeight="1">
      <c r="C537" s="15"/>
    </row>
    <row r="538" ht="14.25" customHeight="1">
      <c r="C538" s="15"/>
    </row>
    <row r="539" ht="14.25" customHeight="1">
      <c r="C539" s="15"/>
    </row>
    <row r="540" ht="14.25" customHeight="1">
      <c r="C540" s="15"/>
    </row>
    <row r="541" ht="14.25" customHeight="1">
      <c r="C541" s="15"/>
    </row>
    <row r="542" ht="14.25" customHeight="1">
      <c r="C542" s="15"/>
    </row>
    <row r="543" ht="14.25" customHeight="1">
      <c r="C543" s="15"/>
    </row>
    <row r="544" ht="14.25" customHeight="1">
      <c r="C544" s="15"/>
    </row>
    <row r="545" ht="14.25" customHeight="1">
      <c r="C545" s="15"/>
    </row>
    <row r="546" ht="14.25" customHeight="1">
      <c r="C546" s="15"/>
    </row>
    <row r="547" ht="14.25" customHeight="1">
      <c r="C547" s="15"/>
    </row>
    <row r="548" ht="14.25" customHeight="1">
      <c r="C548" s="15"/>
    </row>
    <row r="549" ht="14.25" customHeight="1">
      <c r="C549" s="15"/>
    </row>
    <row r="550" ht="14.25" customHeight="1">
      <c r="C550" s="15"/>
    </row>
    <row r="551" ht="14.25" customHeight="1">
      <c r="C551" s="15"/>
    </row>
    <row r="552" ht="14.25" customHeight="1">
      <c r="C552" s="15"/>
    </row>
    <row r="553" ht="14.25" customHeight="1">
      <c r="C553" s="15"/>
    </row>
    <row r="554" ht="14.25" customHeight="1">
      <c r="C554" s="15"/>
    </row>
    <row r="555" ht="14.25" customHeight="1">
      <c r="C555" s="15"/>
    </row>
    <row r="556" ht="14.25" customHeight="1">
      <c r="C556" s="15"/>
    </row>
    <row r="557" ht="14.25" customHeight="1">
      <c r="C557" s="15"/>
    </row>
    <row r="558" ht="14.25" customHeight="1">
      <c r="C558" s="15"/>
    </row>
    <row r="559" ht="14.25" customHeight="1">
      <c r="C559" s="15"/>
    </row>
    <row r="560" ht="14.25" customHeight="1">
      <c r="C560" s="15"/>
    </row>
    <row r="561" ht="14.25" customHeight="1">
      <c r="C561" s="15"/>
    </row>
    <row r="562" ht="14.25" customHeight="1">
      <c r="C562" s="15"/>
    </row>
    <row r="563" ht="14.25" customHeight="1">
      <c r="C563" s="15"/>
    </row>
    <row r="564" ht="14.25" customHeight="1">
      <c r="C564" s="15"/>
    </row>
    <row r="565" ht="14.25" customHeight="1">
      <c r="C565" s="15"/>
    </row>
    <row r="566" ht="14.25" customHeight="1">
      <c r="C566" s="15"/>
    </row>
    <row r="567" ht="14.25" customHeight="1">
      <c r="C567" s="15"/>
    </row>
    <row r="568" ht="14.25" customHeight="1">
      <c r="C568" s="15"/>
    </row>
    <row r="569" ht="14.25" customHeight="1">
      <c r="C569" s="15"/>
    </row>
    <row r="570" ht="14.25" customHeight="1">
      <c r="C570" s="15"/>
    </row>
    <row r="571" ht="14.25" customHeight="1">
      <c r="C571" s="15"/>
    </row>
    <row r="572" ht="14.25" customHeight="1">
      <c r="C572" s="15"/>
    </row>
    <row r="573" ht="14.25" customHeight="1">
      <c r="C573" s="15"/>
    </row>
    <row r="574" ht="14.25" customHeight="1">
      <c r="C574" s="15"/>
    </row>
    <row r="575" ht="14.25" customHeight="1">
      <c r="C575" s="15"/>
    </row>
    <row r="576" ht="14.25" customHeight="1">
      <c r="C576" s="15"/>
    </row>
    <row r="577" ht="14.25" customHeight="1">
      <c r="C577" s="15"/>
    </row>
    <row r="578" ht="14.25" customHeight="1">
      <c r="C578" s="15"/>
    </row>
    <row r="579" ht="14.25" customHeight="1">
      <c r="C579" s="15"/>
    </row>
    <row r="580" ht="14.25" customHeight="1">
      <c r="C580" s="15"/>
    </row>
    <row r="581" ht="14.25" customHeight="1">
      <c r="C581" s="15"/>
    </row>
    <row r="582" ht="14.25" customHeight="1">
      <c r="C582" s="15"/>
    </row>
    <row r="583" ht="14.25" customHeight="1">
      <c r="C583" s="15"/>
    </row>
    <row r="584" ht="14.25" customHeight="1">
      <c r="C584" s="15"/>
    </row>
    <row r="585" ht="14.25" customHeight="1">
      <c r="C585" s="15"/>
    </row>
    <row r="586" ht="14.25" customHeight="1">
      <c r="C586" s="15"/>
    </row>
    <row r="587" ht="14.25" customHeight="1">
      <c r="C587" s="15"/>
    </row>
    <row r="588" ht="14.25" customHeight="1">
      <c r="C588" s="15"/>
    </row>
    <row r="589" ht="14.25" customHeight="1">
      <c r="C589" s="15"/>
    </row>
    <row r="590" ht="14.25" customHeight="1">
      <c r="C590" s="15"/>
    </row>
    <row r="591" ht="14.25" customHeight="1">
      <c r="C591" s="15"/>
    </row>
    <row r="592" ht="14.25" customHeight="1">
      <c r="C592" s="15"/>
    </row>
    <row r="593" ht="14.25" customHeight="1">
      <c r="C593" s="15"/>
    </row>
    <row r="594" ht="14.25" customHeight="1">
      <c r="C594" s="15"/>
    </row>
    <row r="595" ht="14.25" customHeight="1">
      <c r="C595" s="15"/>
    </row>
    <row r="596" ht="14.25" customHeight="1">
      <c r="C596" s="15"/>
    </row>
    <row r="597" ht="14.25" customHeight="1">
      <c r="C597" s="15"/>
    </row>
    <row r="598" ht="14.25" customHeight="1">
      <c r="C598" s="15"/>
    </row>
    <row r="599" ht="14.25" customHeight="1">
      <c r="C599" s="15"/>
    </row>
    <row r="600" ht="14.25" customHeight="1">
      <c r="C600" s="15"/>
    </row>
    <row r="601" ht="14.25" customHeight="1">
      <c r="C601" s="15"/>
    </row>
    <row r="602" ht="14.25" customHeight="1">
      <c r="C602" s="15"/>
    </row>
    <row r="603" ht="14.25" customHeight="1">
      <c r="C603" s="15"/>
    </row>
    <row r="604" ht="14.25" customHeight="1">
      <c r="C604" s="15"/>
    </row>
    <row r="605" ht="14.25" customHeight="1">
      <c r="C605" s="15"/>
    </row>
    <row r="606" ht="14.25" customHeight="1">
      <c r="C606" s="15"/>
    </row>
    <row r="607" ht="14.25" customHeight="1">
      <c r="C607" s="15"/>
    </row>
    <row r="608" ht="14.25" customHeight="1">
      <c r="C608" s="15"/>
    </row>
    <row r="609" ht="14.25" customHeight="1">
      <c r="C609" s="15"/>
    </row>
    <row r="610" ht="14.25" customHeight="1">
      <c r="C610" s="15"/>
    </row>
    <row r="611" ht="14.25" customHeight="1">
      <c r="C611" s="15"/>
    </row>
    <row r="612" ht="14.25" customHeight="1">
      <c r="C612" s="15"/>
    </row>
    <row r="613" ht="14.25" customHeight="1">
      <c r="C613" s="15"/>
    </row>
    <row r="614" ht="14.25" customHeight="1">
      <c r="C614" s="15"/>
    </row>
    <row r="615" ht="14.25" customHeight="1">
      <c r="C615" s="15"/>
    </row>
    <row r="616" ht="14.25" customHeight="1">
      <c r="C616" s="15"/>
    </row>
    <row r="617" ht="14.25" customHeight="1">
      <c r="C617" s="15"/>
    </row>
    <row r="618" ht="14.25" customHeight="1">
      <c r="C618" s="15"/>
    </row>
    <row r="619" ht="14.25" customHeight="1">
      <c r="C619" s="15"/>
    </row>
    <row r="620" ht="14.25" customHeight="1">
      <c r="C620" s="15"/>
    </row>
    <row r="621" ht="14.25" customHeight="1">
      <c r="C621" s="15"/>
    </row>
    <row r="622" ht="14.25" customHeight="1">
      <c r="C622" s="15"/>
    </row>
    <row r="623" ht="14.25" customHeight="1">
      <c r="C623" s="15"/>
    </row>
    <row r="624" ht="14.25" customHeight="1">
      <c r="C624" s="15"/>
    </row>
    <row r="625" ht="14.25" customHeight="1">
      <c r="C625" s="15"/>
    </row>
    <row r="626" ht="14.25" customHeight="1">
      <c r="C626" s="15"/>
    </row>
    <row r="627" ht="14.25" customHeight="1">
      <c r="C627" s="15"/>
    </row>
    <row r="628" ht="14.25" customHeight="1">
      <c r="C628" s="15"/>
    </row>
    <row r="629" ht="14.25" customHeight="1">
      <c r="C629" s="15"/>
    </row>
    <row r="630" ht="14.25" customHeight="1">
      <c r="C630" s="15"/>
    </row>
    <row r="631" ht="14.25" customHeight="1">
      <c r="C631" s="15"/>
    </row>
    <row r="632" ht="14.25" customHeight="1">
      <c r="C632" s="15"/>
    </row>
    <row r="633" ht="14.25" customHeight="1">
      <c r="C633" s="15"/>
    </row>
    <row r="634" ht="14.25" customHeight="1">
      <c r="C634" s="15"/>
    </row>
    <row r="635" ht="14.25" customHeight="1">
      <c r="C635" s="15"/>
    </row>
    <row r="636" ht="14.25" customHeight="1">
      <c r="C636" s="15"/>
    </row>
    <row r="637" ht="14.25" customHeight="1">
      <c r="C637" s="15"/>
    </row>
    <row r="638" ht="14.25" customHeight="1">
      <c r="C638" s="15"/>
    </row>
    <row r="639" ht="14.25" customHeight="1">
      <c r="C639" s="15"/>
    </row>
    <row r="640" ht="14.25" customHeight="1">
      <c r="C640" s="15"/>
    </row>
    <row r="641" ht="14.25" customHeight="1">
      <c r="C641" s="15"/>
    </row>
    <row r="642" ht="14.25" customHeight="1">
      <c r="C642" s="15"/>
    </row>
    <row r="643" ht="14.25" customHeight="1">
      <c r="C643" s="15"/>
    </row>
    <row r="644" ht="14.25" customHeight="1">
      <c r="C644" s="15"/>
    </row>
    <row r="645" ht="14.25" customHeight="1">
      <c r="C645" s="15"/>
    </row>
    <row r="646" ht="14.25" customHeight="1">
      <c r="C646" s="15"/>
    </row>
    <row r="647" ht="14.25" customHeight="1">
      <c r="C647" s="15"/>
    </row>
    <row r="648" ht="14.25" customHeight="1">
      <c r="C648" s="15"/>
    </row>
    <row r="649" ht="14.25" customHeight="1">
      <c r="C649" s="15"/>
    </row>
    <row r="650" ht="14.25" customHeight="1">
      <c r="C650" s="15"/>
    </row>
    <row r="651" ht="14.25" customHeight="1">
      <c r="C651" s="15"/>
    </row>
    <row r="652" ht="14.25" customHeight="1">
      <c r="C652" s="15"/>
    </row>
    <row r="653" ht="14.25" customHeight="1">
      <c r="C653" s="15"/>
    </row>
    <row r="654" ht="14.25" customHeight="1">
      <c r="C654" s="15"/>
    </row>
    <row r="655" ht="14.25" customHeight="1">
      <c r="C655" s="15"/>
    </row>
    <row r="656" ht="14.25" customHeight="1">
      <c r="C656" s="15"/>
    </row>
    <row r="657" ht="14.25" customHeight="1">
      <c r="C657" s="15"/>
    </row>
    <row r="658" ht="14.25" customHeight="1">
      <c r="C658" s="15"/>
    </row>
    <row r="659" ht="14.25" customHeight="1">
      <c r="C659" s="15"/>
    </row>
    <row r="660" ht="14.25" customHeight="1">
      <c r="C660" s="15"/>
    </row>
    <row r="661" ht="14.25" customHeight="1">
      <c r="C661" s="15"/>
    </row>
    <row r="662" ht="14.25" customHeight="1">
      <c r="C662" s="15"/>
    </row>
    <row r="663" ht="14.25" customHeight="1">
      <c r="C663" s="15"/>
    </row>
    <row r="664" ht="14.25" customHeight="1">
      <c r="C664" s="15"/>
    </row>
    <row r="665" ht="14.25" customHeight="1">
      <c r="C665" s="15"/>
    </row>
    <row r="666" ht="14.25" customHeight="1">
      <c r="C666" s="15"/>
    </row>
    <row r="667" ht="14.25" customHeight="1">
      <c r="C667" s="15"/>
    </row>
    <row r="668" ht="14.25" customHeight="1">
      <c r="C668" s="15"/>
    </row>
    <row r="669" ht="14.25" customHeight="1">
      <c r="C669" s="15"/>
    </row>
    <row r="670" ht="14.25" customHeight="1">
      <c r="C670" s="15"/>
    </row>
    <row r="671" ht="14.25" customHeight="1">
      <c r="C671" s="15"/>
    </row>
    <row r="672" ht="14.25" customHeight="1">
      <c r="C672" s="15"/>
    </row>
    <row r="673" ht="14.25" customHeight="1">
      <c r="C673" s="15"/>
    </row>
    <row r="674" ht="14.25" customHeight="1">
      <c r="C674" s="15"/>
    </row>
    <row r="675" ht="14.25" customHeight="1">
      <c r="C675" s="15"/>
    </row>
    <row r="676" ht="14.25" customHeight="1">
      <c r="C676" s="15"/>
    </row>
    <row r="677" ht="14.25" customHeight="1">
      <c r="C677" s="15"/>
    </row>
    <row r="678" ht="14.25" customHeight="1">
      <c r="C678" s="15"/>
    </row>
    <row r="679" ht="14.25" customHeight="1">
      <c r="C679" s="15"/>
    </row>
    <row r="680" ht="14.25" customHeight="1">
      <c r="C680" s="15"/>
    </row>
    <row r="681" ht="14.25" customHeight="1">
      <c r="C681" s="15"/>
    </row>
    <row r="682" ht="14.25" customHeight="1">
      <c r="C682" s="15"/>
    </row>
    <row r="683" ht="14.25" customHeight="1">
      <c r="C683" s="15"/>
    </row>
    <row r="684" ht="14.25" customHeight="1">
      <c r="C684" s="15"/>
    </row>
    <row r="685" ht="14.25" customHeight="1">
      <c r="C685" s="15"/>
    </row>
    <row r="686" ht="14.25" customHeight="1">
      <c r="C686" s="15"/>
    </row>
    <row r="687" ht="14.25" customHeight="1">
      <c r="C687" s="15"/>
    </row>
    <row r="688" ht="14.25" customHeight="1">
      <c r="C688" s="15"/>
    </row>
    <row r="689" ht="14.25" customHeight="1">
      <c r="C689" s="15"/>
    </row>
    <row r="690" ht="14.25" customHeight="1">
      <c r="C690" s="15"/>
    </row>
    <row r="691" ht="14.25" customHeight="1">
      <c r="C691" s="15"/>
    </row>
    <row r="692" ht="14.25" customHeight="1">
      <c r="C692" s="15"/>
    </row>
    <row r="693" ht="14.25" customHeight="1">
      <c r="C693" s="15"/>
    </row>
    <row r="694" ht="14.25" customHeight="1">
      <c r="C694" s="15"/>
    </row>
    <row r="695" ht="14.25" customHeight="1">
      <c r="C695" s="15"/>
    </row>
    <row r="696" ht="14.25" customHeight="1">
      <c r="C696" s="15"/>
    </row>
    <row r="697" ht="14.25" customHeight="1">
      <c r="C697" s="15"/>
    </row>
    <row r="698" ht="14.25" customHeight="1">
      <c r="C698" s="15"/>
    </row>
    <row r="699" ht="14.25" customHeight="1">
      <c r="C699" s="15"/>
    </row>
    <row r="700" ht="14.25" customHeight="1">
      <c r="C700" s="15"/>
    </row>
    <row r="701" ht="14.25" customHeight="1">
      <c r="C701" s="15"/>
    </row>
    <row r="702" ht="14.25" customHeight="1">
      <c r="C702" s="15"/>
    </row>
    <row r="703" ht="14.25" customHeight="1">
      <c r="C703" s="15"/>
    </row>
    <row r="704" ht="14.25" customHeight="1">
      <c r="C704" s="15"/>
    </row>
    <row r="705" ht="14.25" customHeight="1">
      <c r="C705" s="15"/>
    </row>
    <row r="706" ht="14.25" customHeight="1">
      <c r="C706" s="15"/>
    </row>
    <row r="707" ht="14.25" customHeight="1">
      <c r="C707" s="15"/>
    </row>
    <row r="708" ht="14.25" customHeight="1">
      <c r="C708" s="15"/>
    </row>
    <row r="709" ht="14.25" customHeight="1">
      <c r="C709" s="15"/>
    </row>
    <row r="710" ht="14.25" customHeight="1">
      <c r="C710" s="15"/>
    </row>
    <row r="711" ht="14.25" customHeight="1">
      <c r="C711" s="15"/>
    </row>
    <row r="712" ht="14.25" customHeight="1">
      <c r="C712" s="15"/>
    </row>
    <row r="713" ht="14.25" customHeight="1">
      <c r="C713" s="15"/>
    </row>
    <row r="714" ht="14.25" customHeight="1">
      <c r="C714" s="15"/>
    </row>
    <row r="715" ht="14.25" customHeight="1">
      <c r="C715" s="15"/>
    </row>
    <row r="716" ht="14.25" customHeight="1">
      <c r="C716" s="15"/>
    </row>
    <row r="717" ht="14.25" customHeight="1">
      <c r="C717" s="15"/>
    </row>
    <row r="718" ht="14.25" customHeight="1">
      <c r="C718" s="15"/>
    </row>
    <row r="719" ht="14.25" customHeight="1">
      <c r="C719" s="15"/>
    </row>
    <row r="720" ht="14.25" customHeight="1">
      <c r="C720" s="15"/>
    </row>
    <row r="721" ht="14.25" customHeight="1">
      <c r="C721" s="15"/>
    </row>
    <row r="722" ht="14.25" customHeight="1">
      <c r="C722" s="15"/>
    </row>
    <row r="723" ht="14.25" customHeight="1">
      <c r="C723" s="15"/>
    </row>
    <row r="724" ht="14.25" customHeight="1">
      <c r="C724" s="15"/>
    </row>
    <row r="725" ht="14.25" customHeight="1">
      <c r="C725" s="15"/>
    </row>
    <row r="726" ht="14.25" customHeight="1">
      <c r="C726" s="15"/>
    </row>
    <row r="727" ht="14.25" customHeight="1">
      <c r="C727" s="15"/>
    </row>
    <row r="728" ht="14.25" customHeight="1">
      <c r="C728" s="15"/>
    </row>
    <row r="729" ht="14.25" customHeight="1">
      <c r="C729" s="15"/>
    </row>
    <row r="730" ht="14.25" customHeight="1">
      <c r="C730" s="15"/>
    </row>
    <row r="731" ht="14.25" customHeight="1">
      <c r="C731" s="15"/>
    </row>
    <row r="732" ht="14.25" customHeight="1">
      <c r="C732" s="15"/>
    </row>
    <row r="733" ht="14.25" customHeight="1">
      <c r="C733" s="15"/>
    </row>
    <row r="734" ht="14.25" customHeight="1">
      <c r="C734" s="15"/>
    </row>
    <row r="735" ht="14.25" customHeight="1">
      <c r="C735" s="15"/>
    </row>
    <row r="736" ht="14.25" customHeight="1">
      <c r="C736" s="15"/>
    </row>
    <row r="737" ht="14.25" customHeight="1">
      <c r="C737" s="15"/>
    </row>
    <row r="738" ht="14.25" customHeight="1">
      <c r="C738" s="15"/>
    </row>
    <row r="739" ht="14.25" customHeight="1">
      <c r="C739" s="15"/>
    </row>
    <row r="740" ht="14.25" customHeight="1">
      <c r="C740" s="15"/>
    </row>
    <row r="741" ht="14.25" customHeight="1">
      <c r="C741" s="15"/>
    </row>
    <row r="742" ht="14.25" customHeight="1">
      <c r="C742" s="15"/>
    </row>
    <row r="743" ht="14.25" customHeight="1">
      <c r="C743" s="15"/>
    </row>
    <row r="744" ht="14.25" customHeight="1">
      <c r="C744" s="15"/>
    </row>
    <row r="745" ht="14.25" customHeight="1">
      <c r="C745" s="15"/>
    </row>
    <row r="746" ht="14.25" customHeight="1">
      <c r="C746" s="15"/>
    </row>
    <row r="747" ht="14.25" customHeight="1">
      <c r="C747" s="15"/>
    </row>
    <row r="748" ht="14.25" customHeight="1">
      <c r="C748" s="15"/>
    </row>
    <row r="749" ht="14.25" customHeight="1">
      <c r="C749" s="15"/>
    </row>
    <row r="750" ht="14.25" customHeight="1">
      <c r="C750" s="15"/>
    </row>
    <row r="751" ht="14.25" customHeight="1">
      <c r="C751" s="15"/>
    </row>
    <row r="752" ht="14.25" customHeight="1">
      <c r="C752" s="15"/>
    </row>
    <row r="753" ht="14.25" customHeight="1">
      <c r="C753" s="15"/>
    </row>
    <row r="754" ht="14.25" customHeight="1">
      <c r="C754" s="15"/>
    </row>
    <row r="755" ht="14.25" customHeight="1">
      <c r="C755" s="15"/>
    </row>
    <row r="756" ht="14.25" customHeight="1">
      <c r="C756" s="15"/>
    </row>
    <row r="757" ht="14.25" customHeight="1">
      <c r="C757" s="15"/>
    </row>
    <row r="758" ht="14.25" customHeight="1">
      <c r="C758" s="15"/>
    </row>
    <row r="759" ht="14.25" customHeight="1">
      <c r="C759" s="15"/>
    </row>
    <row r="760" ht="14.25" customHeight="1">
      <c r="C760" s="15"/>
    </row>
    <row r="761" ht="14.25" customHeight="1">
      <c r="C761" s="15"/>
    </row>
    <row r="762" ht="14.25" customHeight="1">
      <c r="C762" s="15"/>
    </row>
    <row r="763" ht="14.25" customHeight="1">
      <c r="C763" s="15"/>
    </row>
    <row r="764" ht="14.25" customHeight="1">
      <c r="C764" s="15"/>
    </row>
    <row r="765" ht="14.25" customHeight="1">
      <c r="C765" s="15"/>
    </row>
    <row r="766" ht="14.25" customHeight="1">
      <c r="C766" s="15"/>
    </row>
    <row r="767" ht="14.25" customHeight="1">
      <c r="C767" s="15"/>
    </row>
    <row r="768" ht="14.25" customHeight="1">
      <c r="C768" s="15"/>
    </row>
    <row r="769" ht="14.25" customHeight="1">
      <c r="C769" s="15"/>
    </row>
    <row r="770" ht="14.25" customHeight="1">
      <c r="C770" s="15"/>
    </row>
    <row r="771" ht="14.25" customHeight="1">
      <c r="C771" s="15"/>
    </row>
    <row r="772" ht="14.25" customHeight="1">
      <c r="C772" s="15"/>
    </row>
    <row r="773" ht="14.25" customHeight="1">
      <c r="C773" s="15"/>
    </row>
    <row r="774" ht="14.25" customHeight="1">
      <c r="C774" s="15"/>
    </row>
    <row r="775" ht="14.25" customHeight="1">
      <c r="C775" s="15"/>
    </row>
    <row r="776" ht="14.25" customHeight="1">
      <c r="C776" s="15"/>
    </row>
    <row r="777" ht="14.25" customHeight="1">
      <c r="C777" s="15"/>
    </row>
    <row r="778" ht="14.25" customHeight="1">
      <c r="C778" s="15"/>
    </row>
    <row r="779" ht="14.25" customHeight="1">
      <c r="C779" s="15"/>
    </row>
    <row r="780" ht="14.25" customHeight="1">
      <c r="C780" s="15"/>
    </row>
    <row r="781" ht="14.25" customHeight="1">
      <c r="C781" s="15"/>
    </row>
    <row r="782" ht="14.25" customHeight="1">
      <c r="C782" s="15"/>
    </row>
    <row r="783" ht="14.25" customHeight="1">
      <c r="C783" s="15"/>
    </row>
    <row r="784" ht="14.25" customHeight="1">
      <c r="C784" s="15"/>
    </row>
    <row r="785" ht="14.25" customHeight="1">
      <c r="C785" s="15"/>
    </row>
    <row r="786" ht="14.25" customHeight="1">
      <c r="C786" s="15"/>
    </row>
    <row r="787" ht="14.25" customHeight="1">
      <c r="C787" s="15"/>
    </row>
    <row r="788" ht="14.25" customHeight="1">
      <c r="C788" s="15"/>
    </row>
    <row r="789" ht="14.25" customHeight="1">
      <c r="C789" s="15"/>
    </row>
    <row r="790" ht="14.25" customHeight="1">
      <c r="C790" s="15"/>
    </row>
    <row r="791" ht="14.25" customHeight="1">
      <c r="C791" s="15"/>
    </row>
    <row r="792" ht="14.25" customHeight="1">
      <c r="C792" s="15"/>
    </row>
    <row r="793" ht="14.25" customHeight="1">
      <c r="C793" s="15"/>
    </row>
    <row r="794" ht="14.25" customHeight="1">
      <c r="C794" s="15"/>
    </row>
    <row r="795" ht="14.25" customHeight="1">
      <c r="C795" s="15"/>
    </row>
    <row r="796" ht="14.25" customHeight="1">
      <c r="C796" s="15"/>
    </row>
    <row r="797" ht="14.25" customHeight="1">
      <c r="C797" s="15"/>
    </row>
    <row r="798" ht="14.25" customHeight="1">
      <c r="C798" s="15"/>
    </row>
    <row r="799" ht="14.25" customHeight="1">
      <c r="C799" s="15"/>
    </row>
    <row r="800" ht="14.25" customHeight="1">
      <c r="C800" s="15"/>
    </row>
    <row r="801" ht="14.25" customHeight="1">
      <c r="C801" s="15"/>
    </row>
    <row r="802" ht="14.25" customHeight="1">
      <c r="C802" s="15"/>
    </row>
    <row r="803" ht="14.25" customHeight="1">
      <c r="C803" s="15"/>
    </row>
    <row r="804" ht="14.25" customHeight="1">
      <c r="C804" s="15"/>
    </row>
    <row r="805" ht="14.25" customHeight="1">
      <c r="C805" s="15"/>
    </row>
    <row r="806" ht="14.25" customHeight="1">
      <c r="C806" s="15"/>
    </row>
    <row r="807" ht="14.25" customHeight="1">
      <c r="C807" s="15"/>
    </row>
    <row r="808" ht="14.25" customHeight="1">
      <c r="C808" s="15"/>
    </row>
    <row r="809" ht="14.25" customHeight="1">
      <c r="C809" s="15"/>
    </row>
    <row r="810" ht="14.25" customHeight="1">
      <c r="C810" s="15"/>
    </row>
    <row r="811" ht="14.25" customHeight="1">
      <c r="C811" s="15"/>
    </row>
    <row r="812" ht="14.25" customHeight="1">
      <c r="C812" s="15"/>
    </row>
    <row r="813" ht="14.25" customHeight="1">
      <c r="C813" s="15"/>
    </row>
    <row r="814" ht="14.25" customHeight="1">
      <c r="C814" s="15"/>
    </row>
    <row r="815" ht="14.25" customHeight="1">
      <c r="C815" s="15"/>
    </row>
    <row r="816" ht="14.25" customHeight="1">
      <c r="C816" s="15"/>
    </row>
    <row r="817" ht="14.25" customHeight="1">
      <c r="C817" s="15"/>
    </row>
    <row r="818" ht="14.25" customHeight="1">
      <c r="C818" s="15"/>
    </row>
    <row r="819" ht="14.25" customHeight="1">
      <c r="C819" s="15"/>
    </row>
    <row r="820" ht="14.25" customHeight="1">
      <c r="C820" s="15"/>
    </row>
    <row r="821" ht="14.25" customHeight="1">
      <c r="C821" s="15"/>
    </row>
    <row r="822" ht="14.25" customHeight="1">
      <c r="C822" s="15"/>
    </row>
    <row r="823" ht="14.25" customHeight="1">
      <c r="C823" s="15"/>
    </row>
    <row r="824" ht="14.25" customHeight="1">
      <c r="C824" s="15"/>
    </row>
    <row r="825" ht="14.25" customHeight="1">
      <c r="C825" s="15"/>
    </row>
    <row r="826" ht="14.25" customHeight="1">
      <c r="C826" s="15"/>
    </row>
    <row r="827" ht="14.25" customHeight="1">
      <c r="C827" s="15"/>
    </row>
    <row r="828" ht="14.25" customHeight="1">
      <c r="C828" s="15"/>
    </row>
    <row r="829" ht="14.25" customHeight="1">
      <c r="C829" s="15"/>
    </row>
    <row r="830" ht="14.25" customHeight="1">
      <c r="C830" s="15"/>
    </row>
    <row r="831" ht="14.25" customHeight="1">
      <c r="C831" s="15"/>
    </row>
    <row r="832" ht="14.25" customHeight="1">
      <c r="C832" s="15"/>
    </row>
    <row r="833" ht="14.25" customHeight="1">
      <c r="C833" s="15"/>
    </row>
    <row r="834" ht="14.25" customHeight="1">
      <c r="C834" s="15"/>
    </row>
    <row r="835" ht="14.25" customHeight="1">
      <c r="C835" s="15"/>
    </row>
    <row r="836" ht="14.25" customHeight="1">
      <c r="C836" s="15"/>
    </row>
    <row r="837" ht="14.25" customHeight="1">
      <c r="C837" s="15"/>
    </row>
    <row r="838" ht="14.25" customHeight="1">
      <c r="C838" s="15"/>
    </row>
    <row r="839" ht="14.25" customHeight="1">
      <c r="C839" s="15"/>
    </row>
    <row r="840" ht="14.25" customHeight="1">
      <c r="C840" s="15"/>
    </row>
    <row r="841" ht="14.25" customHeight="1">
      <c r="C841" s="15"/>
    </row>
    <row r="842" ht="14.25" customHeight="1">
      <c r="C842" s="15"/>
    </row>
    <row r="843" ht="14.25" customHeight="1">
      <c r="C843" s="15"/>
    </row>
    <row r="844" ht="14.25" customHeight="1">
      <c r="C844" s="15"/>
    </row>
    <row r="845" ht="14.25" customHeight="1">
      <c r="C845" s="15"/>
    </row>
    <row r="846" ht="14.25" customHeight="1">
      <c r="C846" s="15"/>
    </row>
    <row r="847" ht="14.25" customHeight="1">
      <c r="C847" s="15"/>
    </row>
    <row r="848" ht="14.25" customHeight="1">
      <c r="C848" s="15"/>
    </row>
    <row r="849" ht="14.25" customHeight="1">
      <c r="C849" s="15"/>
    </row>
    <row r="850" ht="14.25" customHeight="1">
      <c r="C850" s="15"/>
    </row>
    <row r="851" ht="14.25" customHeight="1">
      <c r="C851" s="15"/>
    </row>
    <row r="852" ht="14.25" customHeight="1">
      <c r="C852" s="15"/>
    </row>
    <row r="853" ht="14.25" customHeight="1">
      <c r="C853" s="15"/>
    </row>
    <row r="854" ht="14.25" customHeight="1">
      <c r="C854" s="15"/>
    </row>
    <row r="855" ht="14.25" customHeight="1">
      <c r="C855" s="15"/>
    </row>
    <row r="856" ht="14.25" customHeight="1">
      <c r="C856" s="15"/>
    </row>
    <row r="857" ht="14.25" customHeight="1">
      <c r="C857" s="15"/>
    </row>
    <row r="858" ht="14.25" customHeight="1">
      <c r="C858" s="15"/>
    </row>
    <row r="859" ht="14.25" customHeight="1">
      <c r="C859" s="15"/>
    </row>
    <row r="860" ht="14.25" customHeight="1">
      <c r="C860" s="15"/>
    </row>
    <row r="861" ht="14.25" customHeight="1">
      <c r="C861" s="15"/>
    </row>
    <row r="862" ht="14.25" customHeight="1">
      <c r="C862" s="15"/>
    </row>
    <row r="863" ht="14.25" customHeight="1">
      <c r="C863" s="15"/>
    </row>
    <row r="864" ht="14.25" customHeight="1">
      <c r="C864" s="15"/>
    </row>
    <row r="865" ht="14.25" customHeight="1">
      <c r="C865" s="15"/>
    </row>
    <row r="866" ht="14.25" customHeight="1">
      <c r="C866" s="15"/>
    </row>
    <row r="867" ht="14.25" customHeight="1">
      <c r="C867" s="15"/>
    </row>
    <row r="868" ht="14.25" customHeight="1">
      <c r="C868" s="15"/>
    </row>
    <row r="869" ht="14.25" customHeight="1">
      <c r="C869" s="15"/>
    </row>
    <row r="870" ht="14.25" customHeight="1">
      <c r="C870" s="15"/>
    </row>
    <row r="871" ht="14.25" customHeight="1">
      <c r="C871" s="15"/>
    </row>
    <row r="872" ht="14.25" customHeight="1">
      <c r="C872" s="15"/>
    </row>
    <row r="873" ht="14.25" customHeight="1">
      <c r="C873" s="15"/>
    </row>
    <row r="874" ht="14.25" customHeight="1">
      <c r="C874" s="15"/>
    </row>
    <row r="875" ht="14.25" customHeight="1">
      <c r="C875" s="15"/>
    </row>
    <row r="876" ht="14.25" customHeight="1">
      <c r="C876" s="15"/>
    </row>
    <row r="877" ht="14.25" customHeight="1">
      <c r="C877" s="15"/>
    </row>
    <row r="878" ht="14.25" customHeight="1">
      <c r="C878" s="15"/>
    </row>
    <row r="879" ht="14.25" customHeight="1">
      <c r="C879" s="15"/>
    </row>
    <row r="880" ht="14.25" customHeight="1">
      <c r="C880" s="15"/>
    </row>
    <row r="881" ht="14.25" customHeight="1">
      <c r="C881" s="15"/>
    </row>
    <row r="882" ht="14.25" customHeight="1">
      <c r="C882" s="15"/>
    </row>
    <row r="883" ht="14.25" customHeight="1">
      <c r="C883" s="15"/>
    </row>
    <row r="884" ht="14.25" customHeight="1">
      <c r="C884" s="15"/>
    </row>
    <row r="885" ht="14.25" customHeight="1">
      <c r="C885" s="15"/>
    </row>
    <row r="886" ht="14.25" customHeight="1">
      <c r="C886" s="15"/>
    </row>
    <row r="887" ht="14.25" customHeight="1">
      <c r="C887" s="15"/>
    </row>
    <row r="888" ht="14.25" customHeight="1">
      <c r="C888" s="15"/>
    </row>
    <row r="889" ht="14.25" customHeight="1">
      <c r="C889" s="15"/>
    </row>
    <row r="890" ht="14.25" customHeight="1">
      <c r="C890" s="15"/>
    </row>
    <row r="891" ht="14.25" customHeight="1">
      <c r="C891" s="15"/>
    </row>
    <row r="892" ht="14.25" customHeight="1">
      <c r="C892" s="15"/>
    </row>
    <row r="893" ht="14.25" customHeight="1">
      <c r="C893" s="15"/>
    </row>
    <row r="894" ht="14.25" customHeight="1">
      <c r="C894" s="15"/>
    </row>
    <row r="895" ht="14.25" customHeight="1">
      <c r="C895" s="15"/>
    </row>
    <row r="896" ht="14.25" customHeight="1">
      <c r="C896" s="15"/>
    </row>
    <row r="897" ht="14.25" customHeight="1">
      <c r="C897" s="15"/>
    </row>
    <row r="898" ht="14.25" customHeight="1">
      <c r="C898" s="15"/>
    </row>
    <row r="899" ht="14.25" customHeight="1">
      <c r="C899" s="15"/>
    </row>
    <row r="900" ht="14.25" customHeight="1">
      <c r="C900" s="15"/>
    </row>
    <row r="901" ht="14.25" customHeight="1">
      <c r="C901" s="15"/>
    </row>
    <row r="902" ht="14.25" customHeight="1">
      <c r="C902" s="15"/>
    </row>
    <row r="903" ht="14.25" customHeight="1">
      <c r="C903" s="15"/>
    </row>
    <row r="904" ht="14.25" customHeight="1">
      <c r="C904" s="15"/>
    </row>
    <row r="905" ht="14.25" customHeight="1">
      <c r="C905" s="15"/>
    </row>
    <row r="906" ht="14.25" customHeight="1">
      <c r="C906" s="15"/>
    </row>
    <row r="907" ht="14.25" customHeight="1">
      <c r="C907" s="15"/>
    </row>
    <row r="908" ht="14.25" customHeight="1">
      <c r="C908" s="15"/>
    </row>
    <row r="909" ht="14.25" customHeight="1">
      <c r="C909" s="15"/>
    </row>
    <row r="910" ht="14.25" customHeight="1">
      <c r="C910" s="15"/>
    </row>
    <row r="911" ht="14.25" customHeight="1">
      <c r="C911" s="15"/>
    </row>
    <row r="912" ht="14.25" customHeight="1">
      <c r="C912" s="15"/>
    </row>
    <row r="913" ht="14.25" customHeight="1">
      <c r="C913" s="15"/>
    </row>
    <row r="914" ht="14.25" customHeight="1">
      <c r="C914" s="15"/>
    </row>
    <row r="915" ht="14.25" customHeight="1">
      <c r="C915" s="15"/>
    </row>
    <row r="916" ht="14.25" customHeight="1">
      <c r="C916" s="15"/>
    </row>
    <row r="917" ht="14.25" customHeight="1">
      <c r="C917" s="15"/>
    </row>
    <row r="918" ht="14.25" customHeight="1">
      <c r="C918" s="15"/>
    </row>
    <row r="919" ht="14.25" customHeight="1">
      <c r="C919" s="15"/>
    </row>
    <row r="920" ht="14.25" customHeight="1">
      <c r="C920" s="15"/>
    </row>
    <row r="921" ht="14.25" customHeight="1">
      <c r="C921" s="15"/>
    </row>
    <row r="922" ht="14.25" customHeight="1">
      <c r="C922" s="15"/>
    </row>
    <row r="923" ht="14.25" customHeight="1">
      <c r="C923" s="15"/>
    </row>
    <row r="924" ht="14.25" customHeight="1">
      <c r="C924" s="15"/>
    </row>
    <row r="925" ht="14.25" customHeight="1">
      <c r="C925" s="15"/>
    </row>
    <row r="926" ht="14.25" customHeight="1">
      <c r="C926" s="15"/>
    </row>
    <row r="927" ht="14.25" customHeight="1">
      <c r="C927" s="15"/>
    </row>
    <row r="928" ht="14.25" customHeight="1">
      <c r="C928" s="15"/>
    </row>
    <row r="929" ht="14.25" customHeight="1">
      <c r="C929" s="15"/>
    </row>
    <row r="930" ht="14.25" customHeight="1">
      <c r="C930" s="15"/>
    </row>
    <row r="931" ht="14.25" customHeight="1">
      <c r="C931" s="15"/>
    </row>
    <row r="932" ht="14.25" customHeight="1">
      <c r="C932" s="15"/>
    </row>
    <row r="933" ht="14.25" customHeight="1">
      <c r="C933" s="15"/>
    </row>
    <row r="934" ht="14.25" customHeight="1">
      <c r="C934" s="15"/>
    </row>
    <row r="935" ht="14.25" customHeight="1">
      <c r="C935" s="15"/>
    </row>
    <row r="936" ht="14.25" customHeight="1">
      <c r="C936" s="15"/>
    </row>
    <row r="937" ht="14.25" customHeight="1">
      <c r="C937" s="15"/>
    </row>
    <row r="938" ht="14.25" customHeight="1">
      <c r="C938" s="15"/>
    </row>
    <row r="939" ht="14.25" customHeight="1">
      <c r="C939" s="15"/>
    </row>
    <row r="940" ht="14.25" customHeight="1">
      <c r="C940" s="15"/>
    </row>
    <row r="941" ht="14.25" customHeight="1">
      <c r="C941" s="15"/>
    </row>
    <row r="942" ht="14.25" customHeight="1">
      <c r="C942" s="15"/>
    </row>
    <row r="943" ht="14.25" customHeight="1">
      <c r="C943" s="15"/>
    </row>
    <row r="944" ht="14.25" customHeight="1">
      <c r="C944" s="15"/>
    </row>
    <row r="945" ht="14.25" customHeight="1">
      <c r="C945" s="15"/>
    </row>
    <row r="946" ht="14.25" customHeight="1">
      <c r="C946" s="15"/>
    </row>
    <row r="947" ht="14.25" customHeight="1">
      <c r="C947" s="15"/>
    </row>
    <row r="948" ht="14.25" customHeight="1">
      <c r="C948" s="15"/>
    </row>
    <row r="949" ht="14.25" customHeight="1">
      <c r="C949" s="15"/>
    </row>
    <row r="950" ht="14.25" customHeight="1">
      <c r="C950" s="15"/>
    </row>
    <row r="951" ht="14.25" customHeight="1">
      <c r="C951" s="15"/>
    </row>
    <row r="952" ht="14.25" customHeight="1">
      <c r="C952" s="15"/>
    </row>
    <row r="953" ht="14.25" customHeight="1">
      <c r="C953" s="15"/>
    </row>
    <row r="954" ht="14.25" customHeight="1">
      <c r="C954" s="15"/>
    </row>
    <row r="955" ht="14.25" customHeight="1">
      <c r="C955" s="15"/>
    </row>
    <row r="956" ht="14.25" customHeight="1">
      <c r="C956" s="15"/>
    </row>
    <row r="957" ht="14.25" customHeight="1">
      <c r="C957" s="15"/>
    </row>
    <row r="958" ht="14.25" customHeight="1">
      <c r="C958" s="15"/>
    </row>
    <row r="959" ht="14.25" customHeight="1">
      <c r="C959" s="15"/>
    </row>
    <row r="960" ht="14.25" customHeight="1">
      <c r="C960" s="15"/>
    </row>
    <row r="961" ht="14.25" customHeight="1">
      <c r="C961" s="15"/>
    </row>
    <row r="962" ht="14.25" customHeight="1">
      <c r="C962" s="15"/>
    </row>
    <row r="963" ht="14.25" customHeight="1">
      <c r="C963" s="15"/>
    </row>
    <row r="964" ht="14.25" customHeight="1">
      <c r="C964" s="15"/>
    </row>
    <row r="965" ht="14.25" customHeight="1">
      <c r="C965" s="15"/>
    </row>
    <row r="966" ht="14.25" customHeight="1">
      <c r="C966" s="15"/>
    </row>
    <row r="967" ht="14.25" customHeight="1">
      <c r="C967" s="15"/>
    </row>
    <row r="968" ht="14.25" customHeight="1">
      <c r="C968" s="15"/>
    </row>
    <row r="969" ht="14.25" customHeight="1">
      <c r="C969" s="15"/>
    </row>
    <row r="970" ht="14.25" customHeight="1">
      <c r="C970" s="15"/>
    </row>
    <row r="971" ht="14.25" customHeight="1">
      <c r="C971" s="15"/>
    </row>
    <row r="972" ht="14.25" customHeight="1">
      <c r="C972" s="15"/>
    </row>
    <row r="973" ht="14.25" customHeight="1">
      <c r="C973" s="15"/>
    </row>
    <row r="974" ht="14.25" customHeight="1">
      <c r="C974" s="15"/>
    </row>
    <row r="975" ht="14.25" customHeight="1">
      <c r="C975" s="15"/>
    </row>
    <row r="976" ht="14.25" customHeight="1">
      <c r="C976" s="15"/>
    </row>
    <row r="977" ht="14.25" customHeight="1">
      <c r="C977" s="15"/>
    </row>
    <row r="978" ht="14.25" customHeight="1">
      <c r="C978" s="15"/>
    </row>
    <row r="979" ht="14.25" customHeight="1">
      <c r="C979" s="15"/>
    </row>
    <row r="980" ht="14.25" customHeight="1">
      <c r="C980" s="15"/>
    </row>
    <row r="981" ht="14.25" customHeight="1">
      <c r="C981" s="15"/>
    </row>
    <row r="982" ht="14.25" customHeight="1">
      <c r="C982" s="15"/>
    </row>
    <row r="983" ht="14.25" customHeight="1">
      <c r="C983" s="15"/>
    </row>
    <row r="984" ht="14.25" customHeight="1">
      <c r="C984" s="15"/>
    </row>
    <row r="985" ht="14.25" customHeight="1">
      <c r="C985" s="15"/>
    </row>
    <row r="986" ht="14.25" customHeight="1">
      <c r="C986" s="15"/>
    </row>
    <row r="987" ht="14.25" customHeight="1">
      <c r="C987" s="15"/>
    </row>
    <row r="988" ht="14.25" customHeight="1">
      <c r="C988" s="15"/>
    </row>
    <row r="989" ht="14.25" customHeight="1">
      <c r="C989" s="15"/>
    </row>
    <row r="990" ht="14.25" customHeight="1">
      <c r="C990" s="15"/>
    </row>
    <row r="991" ht="14.25" customHeight="1">
      <c r="C991" s="15"/>
    </row>
    <row r="992" ht="14.25" customHeight="1">
      <c r="C992" s="15"/>
    </row>
    <row r="993" ht="14.25" customHeight="1">
      <c r="C993" s="15"/>
    </row>
    <row r="994" ht="14.25" customHeight="1">
      <c r="C994" s="15"/>
    </row>
    <row r="995" ht="14.25" customHeight="1">
      <c r="C995" s="15"/>
    </row>
    <row r="996" ht="14.25" customHeight="1">
      <c r="C996" s="15"/>
    </row>
    <row r="997" ht="14.25" customHeight="1">
      <c r="C997" s="15"/>
    </row>
    <row r="998" ht="14.25" customHeight="1">
      <c r="C998" s="15"/>
    </row>
    <row r="999" ht="14.25" customHeight="1">
      <c r="C999" s="15"/>
    </row>
    <row r="1000" ht="14.25" customHeight="1">
      <c r="C1000" s="1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4.0"/>
    <col customWidth="1" min="3" max="3" width="15.13"/>
    <col customWidth="1" min="4" max="4" width="8.75"/>
    <col customWidth="1" min="5" max="5" width="18.25"/>
    <col customWidth="1" min="6" max="6" width="8.5"/>
    <col customWidth="1" min="7" max="26" width="8.0"/>
  </cols>
  <sheetData>
    <row r="1" ht="14.25" customHeight="1">
      <c r="A1" s="1" t="s">
        <v>0</v>
      </c>
      <c r="B1" s="1" t="s">
        <v>1</v>
      </c>
      <c r="C1" s="1" t="s">
        <v>130</v>
      </c>
      <c r="D1" s="1" t="s">
        <v>361</v>
      </c>
      <c r="E1" s="1" t="s">
        <v>362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6</v>
      </c>
      <c r="B2" s="3" t="s">
        <v>24</v>
      </c>
      <c r="C2" s="3" t="s">
        <v>363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4.0"/>
    <col customWidth="1" min="3" max="3" width="21.25"/>
    <col customWidth="1" min="4" max="4" width="8.75"/>
    <col customWidth="1" min="5" max="5" width="18.25"/>
    <col customWidth="1" min="6" max="6" width="8.5"/>
    <col customWidth="1" min="7" max="26" width="8.0"/>
  </cols>
  <sheetData>
    <row r="1" ht="14.25" customHeight="1">
      <c r="A1" s="1" t="s">
        <v>0</v>
      </c>
      <c r="B1" s="1" t="s">
        <v>1</v>
      </c>
      <c r="C1" s="1" t="s">
        <v>130</v>
      </c>
      <c r="D1" s="1" t="s">
        <v>361</v>
      </c>
      <c r="E1" s="1" t="s">
        <v>362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6</v>
      </c>
      <c r="B2" s="3" t="s">
        <v>24</v>
      </c>
      <c r="C2" s="3" t="s">
        <v>260</v>
      </c>
    </row>
    <row r="3" ht="14.25" customHeight="1">
      <c r="A3" s="3" t="s">
        <v>51</v>
      </c>
      <c r="B3" s="3" t="s">
        <v>70</v>
      </c>
      <c r="C3" s="3" t="s">
        <v>351</v>
      </c>
    </row>
    <row r="4" ht="14.25" customHeight="1">
      <c r="A4" s="3" t="s">
        <v>51</v>
      </c>
      <c r="B4" s="3" t="s">
        <v>70</v>
      </c>
      <c r="C4" s="3" t="s">
        <v>364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24.0"/>
    <col customWidth="1" min="3" max="3" width="46.88"/>
    <col customWidth="1" min="4" max="4" width="33.5"/>
    <col customWidth="1" min="5" max="6" width="8.5"/>
    <col customWidth="1" min="7" max="26" width="8.0"/>
  </cols>
  <sheetData>
    <row r="1" ht="14.25" customHeight="1">
      <c r="A1" s="1" t="s">
        <v>365</v>
      </c>
      <c r="B1" s="1" t="s">
        <v>366</v>
      </c>
      <c r="C1" s="1" t="s">
        <v>367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92</v>
      </c>
      <c r="B2" s="3" t="s">
        <v>60</v>
      </c>
      <c r="C2" s="3" t="s">
        <v>11</v>
      </c>
    </row>
    <row r="3" ht="14.25" customHeight="1">
      <c r="A3" s="3" t="s">
        <v>130</v>
      </c>
      <c r="B3" s="3" t="s">
        <v>323</v>
      </c>
      <c r="C3" s="3" t="s">
        <v>368</v>
      </c>
    </row>
    <row r="4" ht="14.25" customHeight="1">
      <c r="A4" s="3" t="s">
        <v>96</v>
      </c>
      <c r="B4" s="3" t="s">
        <v>144</v>
      </c>
      <c r="C4" s="3" t="s">
        <v>369</v>
      </c>
    </row>
    <row r="5" ht="14.25" customHeight="1">
      <c r="A5" s="3" t="s">
        <v>370</v>
      </c>
      <c r="B5" s="3" t="s">
        <v>154</v>
      </c>
      <c r="C5" s="3" t="s">
        <v>371</v>
      </c>
    </row>
    <row r="6" ht="14.25" customHeight="1">
      <c r="B6" s="3" t="s">
        <v>372</v>
      </c>
      <c r="C6" s="3" t="s">
        <v>26</v>
      </c>
    </row>
    <row r="7" ht="14.25" customHeight="1">
      <c r="B7" s="3" t="s">
        <v>373</v>
      </c>
      <c r="C7" s="3" t="s">
        <v>374</v>
      </c>
    </row>
    <row r="8" ht="14.25" customHeight="1">
      <c r="B8" s="3" t="s">
        <v>159</v>
      </c>
    </row>
    <row r="9" ht="14.25" customHeight="1">
      <c r="B9" s="3" t="s">
        <v>375</v>
      </c>
    </row>
    <row r="10" ht="14.25" customHeight="1">
      <c r="B10" s="3" t="s">
        <v>376</v>
      </c>
    </row>
    <row r="11" ht="14.25" customHeight="1">
      <c r="B11" s="3" t="s">
        <v>291</v>
      </c>
    </row>
    <row r="12" ht="14.25" customHeight="1">
      <c r="B12" s="3" t="s">
        <v>377</v>
      </c>
    </row>
    <row r="13" ht="14.25" customHeight="1">
      <c r="B13" s="3" t="s">
        <v>378</v>
      </c>
    </row>
    <row r="14" ht="14.25" customHeight="1">
      <c r="B14" s="3" t="s">
        <v>379</v>
      </c>
    </row>
    <row r="15" ht="14.25" customHeight="1">
      <c r="B15" s="3" t="s">
        <v>178</v>
      </c>
    </row>
    <row r="16" ht="14.25" customHeight="1">
      <c r="B16" s="3" t="s">
        <v>173</v>
      </c>
    </row>
    <row r="17" ht="14.25" customHeight="1">
      <c r="B17" s="3" t="s">
        <v>380</v>
      </c>
    </row>
    <row r="18" ht="14.25" customHeight="1">
      <c r="B18" s="3" t="s">
        <v>309</v>
      </c>
    </row>
    <row r="19" ht="14.25" customHeight="1">
      <c r="B19" s="3" t="s">
        <v>288</v>
      </c>
    </row>
    <row r="20" ht="14.25" customHeight="1">
      <c r="B20" s="3" t="s">
        <v>381</v>
      </c>
    </row>
    <row r="21" ht="14.25" customHeight="1">
      <c r="B21" s="3" t="s">
        <v>247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66.63"/>
    <col customWidth="1" min="3" max="6" width="11.5"/>
    <col customWidth="1" min="7" max="26" width="8.0"/>
  </cols>
  <sheetData>
    <row r="1" ht="12.75" customHeight="1">
      <c r="A1" s="1" t="s">
        <v>382</v>
      </c>
      <c r="B1" s="19" t="s">
        <v>383</v>
      </c>
    </row>
    <row r="2" ht="14.25" customHeight="1">
      <c r="A2" s="3" t="s">
        <v>384</v>
      </c>
      <c r="B2" s="20" t="str">
        <f>IF(OR(ISBLANK(tab!$C2),EXACT(MID(tab!$C2,1,LEN($A$2)),$A$2)),"",""""&amp;$A$2&amp;tab!$A2&amp;"."&amp;tab!$B2&amp;""": """&amp;SUBSTITUTE(tab!$C2,"""","\""")&amp;""",")</f>
        <v>"layout.tab.header.Person.details": "Profile",</v>
      </c>
      <c r="D2" s="16"/>
    </row>
    <row r="3" ht="15.0" customHeight="1">
      <c r="B3" s="20" t="str">
        <f>IF(OR(ISBLANK(tab!$C3),EXACT(MID(tab!$C3,1,LEN($A$2)),$A$2)),"",""""&amp;$A$2&amp;tab!$A3&amp;"."&amp;tab!$B3&amp;""": """&amp;SUBSTITUTE(tab!$C3,"""","\""")&amp;""",")</f>
        <v>"layout.tab.header.Person.publications": "Publications",</v>
      </c>
      <c r="D3" s="16"/>
    </row>
    <row r="4" ht="15.0" customHeight="1">
      <c r="B4" s="20" t="str">
        <f>IF(OR(ISBLANK(tab!$C4),EXACT(MID(tab!$C4,1,LEN($A$2)),$A$2)),"",""""&amp;$A$2&amp;tab!$A4&amp;"."&amp;tab!$B4&amp;""": """&amp;SUBSTITUTE(tab!$C4,"""","\""")&amp;""",")</f>
        <v>"layout.tab.header.Person.projects": "Projects",</v>
      </c>
      <c r="D4" s="16"/>
    </row>
    <row r="5" ht="15.0" customHeight="1">
      <c r="B5" s="20" t="str">
        <f>IF(OR(ISBLANK(tab!$C6),EXACT(MID(tab!$C6,1,LEN($A$2)),$A$2)),"",""""&amp;$A$2&amp;tab!$A6&amp;"."&amp;tab!$B6&amp;""": """&amp;SUBSTITUTE(tab!$C6,"""","\""")&amp;""",")</f>
        <v>"layout.tab.header.Person.otherinfo": "Other",</v>
      </c>
      <c r="D5" s="16"/>
    </row>
    <row r="6" ht="15.0" customHeight="1">
      <c r="B6" s="20" t="str">
        <f>IF(OR(ISBLANK(tab!$C7),EXACT(MID(tab!$C7,1,LEN($A$2)),$A$2)),"",""""&amp;$A$2&amp;tab!$A7&amp;"."&amp;tab!$B7&amp;""": """&amp;SUBSTITUTE(tab!$C7,"""","\""")&amp;""",")</f>
        <v>"layout.tab.header.Person.indicators": "Metrics",</v>
      </c>
      <c r="D6" s="16"/>
    </row>
    <row r="7" ht="15.0" customHeight="1">
      <c r="B7" s="20" t="str">
        <f>IF(OR(ISBLANK(tab!$C8),EXACT(MID(tab!$C8,1,LEN($A$2)),$A$2)),"",""""&amp;$A$2&amp;tab!$A8&amp;"."&amp;tab!$B8&amp;""": """&amp;SUBSTITUTE(tab!$C8,"""","\""")&amp;""",")</f>
        <v>"layout.tab.header.Person.secure": "Secured Tab",</v>
      </c>
      <c r="D7" s="16"/>
    </row>
    <row r="8" ht="15.0" customHeight="1">
      <c r="B8" s="20" t="str">
        <f>IF(OR(ISBLANK(tab!$C9),EXACT(MID(tab!$C9,1,LEN($A$2)),$A$2)),"",""""&amp;$A$2&amp;tab!$A9&amp;"."&amp;tab!$B9&amp;""": """&amp;SUBSTITUTE(tab!$C9,"""","\""")&amp;""",")</f>
        <v>"layout.tab.header.OrgUnit.maininformation": "Information",</v>
      </c>
      <c r="D8" s="16"/>
    </row>
    <row r="9" ht="15.0" customHeight="1">
      <c r="B9" s="20" t="str">
        <f>IF(OR(ISBLANK(#REF!),EXACT(MID(#REF!,1,LEN($A$2)),$A$2)),"",""""&amp;$A$2&amp;#REF!&amp;"."&amp;#REF!&amp;""": """&amp;SUBSTITUTE(#REF!,"""","\""")&amp;""",")</f>
        <v>#REF!</v>
      </c>
      <c r="D9" s="16"/>
    </row>
    <row r="10" ht="15.0" customHeight="1">
      <c r="B10" s="20" t="str">
        <f>IF(OR(ISBLANK(tab!$C10),EXACT(MID(tab!$C10,1,LEN($A$2)),$A$2)),"",""""&amp;$A$2&amp;tab!$A10&amp;"."&amp;tab!$B10&amp;""": """&amp;SUBSTITUTE(tab!$C10,"""","\""")&amp;""",")</f>
        <v>"layout.tab.header.OrgUnit.organizations": "Organizations",</v>
      </c>
      <c r="D10" s="16"/>
    </row>
    <row r="11" ht="15.0" customHeight="1">
      <c r="B11" s="20" t="str">
        <f>IF(OR(ISBLANK(#REF!),EXACT(MID(#REF!,1,LEN($A$2)),$A$2)),"",""""&amp;$A$2&amp;#REF!&amp;"."&amp;#REF!&amp;""": """&amp;SUBSTITUTE(#REF!,"""","\""")&amp;""",")</f>
        <v>#REF!</v>
      </c>
      <c r="D11" s="16"/>
    </row>
    <row r="12" ht="15.0" customHeight="1">
      <c r="B12" s="20" t="str">
        <f>IF(OR(ISBLANK(tab!$C11),EXACT(MID(tab!$C11,1,LEN($A$2)),$A$2)),"",""""&amp;$A$2&amp;tab!$A11&amp;"."&amp;tab!$B11&amp;""": """&amp;SUBSTITUTE(tab!$C11,"""","\""")&amp;""",")</f>
        <v>"layout.tab.header.OrgUnit.rppublications": "Researchers publications",</v>
      </c>
      <c r="D12" s="16"/>
    </row>
    <row r="13" ht="15.0" customHeight="1">
      <c r="B13" s="20" t="str">
        <f>IF(OR(ISBLANK(tab!$C12),EXACT(MID(tab!$C12,1,LEN($A$2)),$A$2)),"",""""&amp;$A$2&amp;tab!$A12&amp;"."&amp;tab!$B12&amp;""": """&amp;SUBSTITUTE(tab!$C12,"""","\""")&amp;""",")</f>
        <v>"layout.tab.header.OrgUnit.projects": "Projects",</v>
      </c>
      <c r="D13" s="16"/>
    </row>
    <row r="14" ht="15.0" customHeight="1">
      <c r="B14" s="20" t="str">
        <f>IF(OR(ISBLANK(tab!$C13),EXACT(MID(tab!$C13,1,LEN($A$2)),$A$2)),"",""""&amp;$A$2&amp;tab!$A13&amp;"."&amp;tab!$B13&amp;""": """&amp;SUBSTITUTE(tab!$C13,"""","\""")&amp;""",")</f>
        <v>"layout.tab.header.OrgUnit.rpprojects": "Researchers projects",</v>
      </c>
      <c r="D14" s="16"/>
    </row>
    <row r="15" ht="15.0" customHeight="1">
      <c r="B15" s="20" t="str">
        <f>IF(OR(ISBLANK(tab!$C14),EXACT(MID(tab!$C14,1,LEN($A$2)),$A$2)),"",""""&amp;$A$2&amp;tab!$A14&amp;"."&amp;tab!$B14&amp;""": """&amp;SUBSTITUTE(tab!$C14,"""","\""")&amp;""",")</f>
        <v>"layout.tab.header.OrgUnit.people": "People",</v>
      </c>
      <c r="D15" s="16"/>
    </row>
    <row r="16" ht="15.0" customHeight="1">
      <c r="B16" s="20" t="str">
        <f>IF(OR(ISBLANK(tab!$C17),EXACT(MID(tab!$C17,1,LEN($A$2)),$A$2)),"",""""&amp;$A$2&amp;tab!$A17&amp;"."&amp;tab!$B17&amp;""": """&amp;SUBSTITUTE(tab!$C17,"""","\""")&amp;""",")</f>
        <v>"layout.tab.header.Project.details": "Details",</v>
      </c>
      <c r="D16" s="16"/>
    </row>
    <row r="17" ht="15.0" customHeight="1">
      <c r="B17" s="20" t="str">
        <f>IF(OR(ISBLANK(tab!$C18),EXACT(MID(tab!$C18,1,LEN($A$2)),$A$2)),"",""""&amp;$A$2&amp;tab!$A18&amp;"."&amp;tab!$B18&amp;""": """&amp;SUBSTITUTE(tab!$C18,"""","\""")&amp;""",")</f>
        <v>"layout.tab.header.Project.outputs::projectoutputs": "Outputs::Publications",</v>
      </c>
      <c r="D17" s="16"/>
    </row>
    <row r="18" ht="15.0" customHeight="1">
      <c r="B18" s="20" t="str">
        <f>IF(OR(ISBLANK(tab!$C19),EXACT(MID(tab!$C19,1,LEN($A$2)),$A$2)),"",""""&amp;$A$2&amp;tab!$A19&amp;"."&amp;tab!$B19&amp;""": """&amp;SUBSTITUTE(tab!$C19,"""","\""")&amp;""",")</f>
        <v>"layout.tab.header.Project.outputs::fundings": "Outputs::Fundings",</v>
      </c>
      <c r="D18" s="16"/>
    </row>
    <row r="19" ht="15.0" customHeight="1">
      <c r="B19" s="20" t="str">
        <f>IF(OR(ISBLANK(tab!$C20),EXACT(MID(tab!$C20,1,LEN($A$2)),$A$2)),"",""""&amp;$A$2&amp;tab!$A20&amp;"."&amp;tab!$B20&amp;""": """&amp;SUBSTITUTE(tab!$C20,"""","\""")&amp;""",")</f>
        <v>"layout.tab.header.Journal.details": "Details",</v>
      </c>
      <c r="D19" s="16"/>
    </row>
    <row r="20" ht="14.25" customHeight="1">
      <c r="B20" s="20" t="str">
        <f>IF(OR(ISBLANK(tab!$C21),EXACT(MID(tab!$C21,1,LEN($A$2)),$A$2)),"",""""&amp;$A$2&amp;tab!$A21&amp;"."&amp;tab!$B21&amp;""": """&amp;SUBSTITUTE(tab!$C21,"""","\""")&amp;""",")</f>
        <v>"layout.tab.header.Event.details": "Details",</v>
      </c>
      <c r="D20" s="16"/>
    </row>
    <row r="21" ht="14.25" customHeight="1">
      <c r="B21" s="20" t="str">
        <f>IF(OR(ISBLANK(tab!$C22),EXACT(MID(tab!$C22,1,LEN($A$2)),$A$2)),"",""""&amp;$A$2&amp;tab!$A22&amp;"."&amp;tab!$B22&amp;""": """&amp;SUBSTITUTE(tab!$C22,"""","\""")&amp;""",")</f>
        <v>"layout.tab.header.Equipment.details": "Details",</v>
      </c>
      <c r="D21" s="16"/>
    </row>
    <row r="22" ht="14.25" customHeight="1">
      <c r="B22" s="20" t="str">
        <f>IF(OR(ISBLANK(tab!$C23),EXACT(MID(tab!$C23,1,LEN($A$2)),$A$2)),"",""""&amp;$A$2&amp;tab!$A23&amp;"."&amp;tab!$B23&amp;""": """&amp;SUBSTITUTE(tab!$C23,"""","\""")&amp;""",")</f>
        <v>"layout.tab.header.Funding.details": "Details",</v>
      </c>
      <c r="D22" s="16"/>
    </row>
    <row r="23" ht="14.25" customHeight="1">
      <c r="B23" s="20" t="str">
        <f>IF(OR(ISBLANK(tab!$C24),EXACT(MID(tab!$C24,1,LEN($A$2)),$A$2)),"",""""&amp;$A$2&amp;tab!$A24&amp;"."&amp;tab!$B24&amp;""": """&amp;SUBSTITUTE(tab!$C24,"""","\""")&amp;""",")</f>
        <v>"layout.tab.header.Publication.details": "Details",</v>
      </c>
      <c r="D23" s="16"/>
    </row>
    <row r="24" ht="14.25" customHeight="1">
      <c r="B24" s="20" t="str">
        <f>IF(OR(ISBLANK(tab!$C25),EXACT(MID(tab!$C25,1,LEN($A$2)),$A$2)),"",""""&amp;$A$2&amp;tab!$A25&amp;"."&amp;tab!$B25&amp;""": """&amp;SUBSTITUTE(tab!$C25,"""","\""")&amp;""",")</f>
        <v>"layout.tab.header.Product.details": "Details",</v>
      </c>
      <c r="D24" s="16"/>
    </row>
    <row r="25" ht="14.25" customHeight="1">
      <c r="B25" s="20" t="str">
        <f>IF(OR(ISBLANK(tab!$C26),EXACT(MID(tab!$C26,1,LEN($A$2)),$A$2)),"",""""&amp;$A$2&amp;tab!$A26&amp;"."&amp;tab!$B26&amp;""": """&amp;SUBSTITUTE(tab!$C26,"""","\""")&amp;""",")</f>
        <v>"layout.tab.header.Patent.details": "Details",</v>
      </c>
      <c r="D25" s="16"/>
    </row>
    <row r="26" ht="14.25" customHeight="1">
      <c r="B26" s="20" t="str">
        <f>IF(OR(ISBLANK(tab!$C27),EXACT(MID(tab!$C27,1,LEN($A$2)),$A$2)),"",""""&amp;$A$2&amp;tab!$A27&amp;"."&amp;tab!$B27&amp;""": """&amp;SUBSTITUTE(tab!$C27,"""","\""")&amp;""",")</f>
        <v>"layout.tab.header.Thesis.details": "Details",</v>
      </c>
    </row>
    <row r="27" ht="14.25" customHeight="1">
      <c r="B27" s="20" t="str">
        <f>IF(OR(ISBLANK(tab!$C28),EXACT(MID(tab!$C28,1,LEN($A$2)),$A$2)),"",""""&amp;$A$2&amp;tab!$A28&amp;"."&amp;tab!$B28&amp;""": """&amp;SUBSTITUTE(tab!$C28,"""","\""")&amp;""",")</f>
        <v/>
      </c>
    </row>
    <row r="28" ht="14.25" customHeight="1">
      <c r="B28" s="20" t="str">
        <f>IF(OR(ISBLANK(tab!$C29),EXACT(MID(tab!$C29,1,LEN($A$2)),$A$2)),"",""""&amp;$A$2&amp;tab!$A29&amp;"."&amp;tab!$B29&amp;""": """&amp;SUBSTITUTE(tab!$C29,"""","\""")&amp;""",")</f>
        <v/>
      </c>
    </row>
    <row r="29" ht="14.25" customHeight="1">
      <c r="B29" s="20" t="str">
        <f>IF(OR(ISBLANK(tab!$C30),EXACT(MID(tab!$C30,1,LEN($A$2)),$A$2)),"",""""&amp;$A$2&amp;tab!$A30&amp;"."&amp;tab!$B30&amp;""": """&amp;SUBSTITUTE(tab!$C30,"""","\""")&amp;""",")</f>
        <v/>
      </c>
    </row>
    <row r="30" ht="14.25" customHeight="1">
      <c r="B30" s="20" t="str">
        <f>IF(OR(ISBLANK(tab!$C31),EXACT(MID(tab!$C31,1,LEN($A$2)),$A$2)),"",""""&amp;$A$2&amp;tab!$A31&amp;"."&amp;tab!$B31&amp;""": """&amp;SUBSTITUTE(tab!$C31,"""","\""")&amp;""",")</f>
        <v/>
      </c>
    </row>
    <row r="31" ht="14.25" customHeight="1">
      <c r="B31" s="20" t="str">
        <f>IF(OR(ISBLANK(tab!$C32),EXACT(MID(tab!$C32,1,LEN($A$2)),$A$2)),"",""""&amp;$A$2&amp;tab!$A32&amp;"."&amp;tab!$B32&amp;""": """&amp;SUBSTITUTE(tab!$C32,"""","\""")&amp;""",")</f>
        <v/>
      </c>
    </row>
    <row r="32" ht="14.25" customHeight="1">
      <c r="B32" s="20" t="str">
        <f>IF(OR(ISBLANK(tab!$C33),EXACT(MID(tab!$C33,1,LEN($A$2)),$A$2)),"",""""&amp;$A$2&amp;tab!$A33&amp;"."&amp;tab!$B33&amp;""": """&amp;SUBSTITUTE(tab!$C33,"""","\""")&amp;""",")</f>
        <v/>
      </c>
    </row>
    <row r="33" ht="14.25" customHeight="1">
      <c r="B33" s="20" t="str">
        <f>IF(OR(ISBLANK(tab!$C34),EXACT(MID(tab!$C34,1,LEN($A$2)),$A$2)),"",""""&amp;$A$2&amp;tab!$A34&amp;"."&amp;tab!$B34&amp;""": """&amp;SUBSTITUTE(tab!$C34,"""","\""")&amp;""",")</f>
        <v/>
      </c>
    </row>
    <row r="34" ht="14.25" customHeight="1">
      <c r="B34" s="20" t="str">
        <f>IF(OR(ISBLANK(tab!$C35),EXACT(MID(tab!$C35,1,LEN($A$2)),$A$2)),"",""""&amp;$A$2&amp;tab!$A35&amp;"."&amp;tab!$B35&amp;""": """&amp;SUBSTITUTE(tab!$C35,"""","\""")&amp;""",")</f>
        <v/>
      </c>
    </row>
    <row r="35" ht="14.25" customHeight="1">
      <c r="B35" s="20" t="str">
        <f>IF(OR(ISBLANK(tab!$C36),EXACT(MID(tab!$C36,1,LEN($A$2)),$A$2)),"",""""&amp;$A$2&amp;tab!$A36&amp;"."&amp;tab!$B36&amp;""": """&amp;SUBSTITUTE(tab!$C36,"""","\""")&amp;""",")</f>
        <v/>
      </c>
    </row>
    <row r="36" ht="14.25" customHeight="1">
      <c r="B36" s="20" t="str">
        <f>IF(OR(ISBLANK(tab!$C37),EXACT(MID(tab!$C37,1,LEN($A$2)),$A$2)),"",""""&amp;$A$2&amp;tab!$A37&amp;"."&amp;tab!$B37&amp;""": """&amp;SUBSTITUTE(tab!$C37,"""","\""")&amp;""",")</f>
        <v/>
      </c>
    </row>
    <row r="37" ht="14.25" customHeight="1">
      <c r="B37" s="20" t="str">
        <f>IF(OR(ISBLANK(tab!$C38),EXACT(MID(tab!$C38,1,LEN($A$2)),$A$2)),"",""""&amp;$A$2&amp;tab!$A38&amp;"."&amp;tab!$B38&amp;""": """&amp;SUBSTITUTE(tab!$C38,"""","\""")&amp;""",")</f>
        <v/>
      </c>
    </row>
    <row r="38" ht="14.25" customHeight="1">
      <c r="B38" s="20" t="str">
        <f>IF(OR(ISBLANK(tab!$C39),EXACT(MID(tab!$C39,1,LEN($A$2)),$A$2)),"",""""&amp;$A$2&amp;tab!$A39&amp;"."&amp;tab!$B39&amp;""": """&amp;SUBSTITUTE(tab!$C39,"""","\""")&amp;""",")</f>
        <v/>
      </c>
    </row>
    <row r="39" ht="14.25" customHeight="1">
      <c r="B39" s="20" t="str">
        <f>IF(OR(ISBLANK(tab!$C40),EXACT(MID(tab!$C40,1,LEN($A$2)),$A$2)),"",""""&amp;$A$2&amp;tab!$A40&amp;"."&amp;tab!$B40&amp;""": """&amp;SUBSTITUTE(tab!$C40,"""","\""")&amp;""",")</f>
        <v/>
      </c>
    </row>
    <row r="40" ht="14.25" customHeight="1">
      <c r="B40" s="20" t="str">
        <f>IF(OR(ISBLANK(tab!$C41),EXACT(MID(tab!$C41,1,LEN($A$2)),$A$2)),"",""""&amp;$A$2&amp;tab!$A41&amp;"."&amp;tab!$B41&amp;""": """&amp;SUBSTITUTE(tab!$C41,"""","\""")&amp;""",")</f>
        <v/>
      </c>
    </row>
    <row r="41" ht="14.25" customHeight="1">
      <c r="B41" s="20" t="str">
        <f>IF(OR(ISBLANK(tab!$C42),EXACT(MID(tab!$C42,1,LEN($A$2)),$A$2)),"",""""&amp;$A$2&amp;tab!$A42&amp;"."&amp;tab!$B42&amp;""": """&amp;SUBSTITUTE(tab!$C42,"""","\""")&amp;""",")</f>
        <v/>
      </c>
    </row>
    <row r="42" ht="14.25" customHeight="1">
      <c r="B42" s="20" t="str">
        <f>IF(OR(ISBLANK(tab!$C43),EXACT(MID(tab!$C43,1,LEN($A$2)),$A$2)),"",""""&amp;$A$2&amp;tab!$A43&amp;"."&amp;tab!$B43&amp;""": """&amp;SUBSTITUTE(tab!$C43,"""","\""")&amp;""",")</f>
        <v/>
      </c>
    </row>
    <row r="43" ht="14.25" customHeight="1">
      <c r="B43" s="20" t="str">
        <f>IF(OR(ISBLANK(tab!$C44),EXACT(MID(tab!$C44,1,LEN($A$2)),$A$2)),"",""""&amp;$A$2&amp;tab!$A44&amp;"."&amp;tab!$B44&amp;""": """&amp;SUBSTITUTE(tab!$C44,"""","\""")&amp;""",")</f>
        <v/>
      </c>
    </row>
    <row r="44" ht="14.25" customHeight="1">
      <c r="B44" s="20" t="str">
        <f>IF(OR(ISBLANK(tab!$C45),EXACT(MID(tab!$C45,1,LEN($A$2)),$A$2)),"",""""&amp;$A$2&amp;tab!$A45&amp;"."&amp;tab!$B45&amp;""": """&amp;SUBSTITUTE(tab!$C45,"""","\""")&amp;""",")</f>
        <v/>
      </c>
    </row>
    <row r="45" ht="14.25" customHeight="1">
      <c r="B45" s="20" t="str">
        <f>IF(OR(ISBLANK(tab!$C46),EXACT(MID(tab!$C46,1,LEN($A$2)),$A$2)),"",""""&amp;$A$2&amp;tab!$A46&amp;"."&amp;tab!$B46&amp;""": """&amp;SUBSTITUTE(tab!$C46,"""","\""")&amp;""",")</f>
        <v/>
      </c>
    </row>
    <row r="46" ht="14.25" customHeight="1">
      <c r="B46" s="20" t="str">
        <f>IF(OR(ISBLANK(tab!$C47),EXACT(MID(tab!$C47,1,LEN($A$2)),$A$2)),"",""""&amp;$A$2&amp;tab!$A47&amp;"."&amp;tab!$B47&amp;""": """&amp;SUBSTITUTE(tab!$C47,"""","\""")&amp;""",")</f>
        <v/>
      </c>
    </row>
    <row r="47" ht="14.25" customHeight="1">
      <c r="B47" s="20" t="str">
        <f>IF(OR(ISBLANK(tab!$C48),EXACT(MID(tab!$C48,1,LEN($A$2)),$A$2)),"",""""&amp;$A$2&amp;tab!$A48&amp;"."&amp;tab!$B48&amp;""": """&amp;SUBSTITUTE(tab!$C48,"""","\""")&amp;""",")</f>
        <v/>
      </c>
    </row>
    <row r="48" ht="14.25" customHeight="1">
      <c r="B48" s="20" t="str">
        <f>IF(OR(ISBLANK(tab!$C49),EXACT(MID(tab!$C49,1,LEN($A$2)),$A$2)),"",""""&amp;$A$2&amp;tab!$A49&amp;"."&amp;tab!$B49&amp;""": """&amp;SUBSTITUTE(tab!$C49,"""","\""")&amp;""",")</f>
        <v/>
      </c>
    </row>
    <row r="49" ht="14.25" customHeight="1">
      <c r="B49" s="20" t="str">
        <f>IF(OR(ISBLANK(tab!$C50),EXACT(MID(tab!$C50,1,LEN($A$2)),$A$2)),"",""""&amp;$A$2&amp;tab!$A50&amp;"."&amp;tab!$B50&amp;""": """&amp;SUBSTITUTE(tab!$C50,"""","\""")&amp;""",")</f>
        <v/>
      </c>
    </row>
    <row r="50" ht="14.25" customHeight="1">
      <c r="B50" s="20" t="str">
        <f>IF(OR(ISBLANK(tab!$C51),EXACT(MID(tab!$C51,1,LEN($A$2)),$A$2)),"",""""&amp;$A$2&amp;tab!$A51&amp;"."&amp;tab!$B51&amp;""": """&amp;SUBSTITUTE(tab!$C51,"""","\""")&amp;""",")</f>
        <v/>
      </c>
    </row>
    <row r="51" ht="14.25" customHeight="1">
      <c r="B51" s="20" t="str">
        <f>IF(OR(ISBLANK(tab!$C52),EXACT(MID(tab!$C52,1,LEN($A$2)),$A$2)),"",""""&amp;$A$2&amp;tab!$A52&amp;"."&amp;tab!$B52&amp;""": """&amp;SUBSTITUTE(tab!$C52,"""","\""")&amp;""",")</f>
        <v/>
      </c>
    </row>
    <row r="52" ht="14.25" customHeight="1">
      <c r="B52" s="20" t="str">
        <f>IF(OR(ISBLANK(tab!$C53),EXACT(MID(tab!$C53,1,LEN($A$2)),$A$2)),"",""""&amp;$A$2&amp;tab!$A53&amp;"."&amp;tab!$B53&amp;""": """&amp;SUBSTITUTE(tab!$C53,"""","\""")&amp;""",")</f>
        <v/>
      </c>
    </row>
    <row r="53" ht="14.25" customHeight="1">
      <c r="B53" s="20" t="str">
        <f>IF(OR(ISBLANK(tab!$C54),EXACT(MID(tab!$C54,1,LEN($A$2)),$A$2)),"",""""&amp;$A$2&amp;tab!$A54&amp;"."&amp;tab!$B54&amp;""": """&amp;SUBSTITUTE(tab!$C54,"""","\""")&amp;""",")</f>
        <v/>
      </c>
    </row>
    <row r="54" ht="14.25" customHeight="1">
      <c r="B54" s="20" t="str">
        <f>IF(OR(ISBLANK(tab!$C55),EXACT(MID(tab!$C55,1,LEN($A$2)),$A$2)),"",""""&amp;$A$2&amp;tab!$A55&amp;"."&amp;tab!$B55&amp;""": """&amp;SUBSTITUTE(tab!$C55,"""","\""")&amp;""",")</f>
        <v/>
      </c>
    </row>
    <row r="55" ht="14.25" customHeight="1">
      <c r="B55" s="20" t="str">
        <f>IF(OR(ISBLANK(tab!$C56),EXACT(MID(tab!$C56,1,LEN($A$2)),$A$2)),"",""""&amp;$A$2&amp;tab!$A56&amp;"."&amp;tab!$B56&amp;""": """&amp;SUBSTITUTE(tab!$C56,"""","\""")&amp;""",")</f>
        <v/>
      </c>
    </row>
    <row r="56" ht="14.25" customHeight="1">
      <c r="B56" s="20" t="str">
        <f>IF(OR(ISBLANK(tab!$C57),EXACT(MID(tab!$C57,1,LEN($A$2)),$A$2)),"",""""&amp;$A$2&amp;tab!$A57&amp;"."&amp;tab!$B57&amp;""": """&amp;SUBSTITUTE(tab!$C57,"""","\""")&amp;""",")</f>
        <v/>
      </c>
    </row>
    <row r="57" ht="14.25" customHeight="1">
      <c r="B57" s="20" t="str">
        <f>IF(OR(ISBLANK(tab!$C58),EXACT(MID(tab!$C58,1,LEN($A$2)),$A$2)),"",""""&amp;$A$2&amp;tab!$A58&amp;"."&amp;tab!$B58&amp;""": """&amp;SUBSTITUTE(tab!$C58,"""","\""")&amp;""",")</f>
        <v/>
      </c>
    </row>
    <row r="58" ht="14.25" customHeight="1">
      <c r="B58" s="20" t="str">
        <f>IF(OR(ISBLANK(tab!$C59),EXACT(MID(tab!$C59,1,LEN($A$2)),$A$2)),"",""""&amp;$A$2&amp;tab!$A59&amp;"."&amp;tab!$B59&amp;""": """&amp;SUBSTITUTE(tab!$C59,"""","\""")&amp;""",")</f>
        <v/>
      </c>
    </row>
    <row r="59" ht="14.25" customHeight="1">
      <c r="B59" s="20" t="str">
        <f>IF(OR(ISBLANK(tab!$C60),EXACT(MID(tab!$C60,1,LEN($A$2)),$A$2)),"",""""&amp;$A$2&amp;tab!$A60&amp;"."&amp;tab!$B60&amp;""": """&amp;SUBSTITUTE(tab!$C60,"""","\""")&amp;""",")</f>
        <v/>
      </c>
    </row>
    <row r="60" ht="14.25" customHeight="1">
      <c r="B60" s="20" t="str">
        <f>IF(OR(ISBLANK(tab!$C61),EXACT(MID(tab!$C61,1,LEN($A$2)),$A$2)),"",""""&amp;$A$2&amp;tab!$A61&amp;"."&amp;tab!$B61&amp;""": """&amp;SUBSTITUTE(tab!$C61,"""","\""")&amp;""",")</f>
        <v/>
      </c>
    </row>
    <row r="61" ht="14.25" customHeight="1">
      <c r="B61" s="20" t="str">
        <f>IF(OR(ISBLANK(tab!$C62),EXACT(MID(tab!$C62,1,LEN($A$2)),$A$2)),"",""""&amp;$A$2&amp;tab!$A62&amp;"."&amp;tab!$B62&amp;""": """&amp;SUBSTITUTE(tab!$C62,"""","\""")&amp;""",")</f>
        <v/>
      </c>
    </row>
    <row r="62" ht="14.25" customHeight="1">
      <c r="B62" s="20" t="str">
        <f>IF(OR(ISBLANK(tab!$C63),EXACT(MID(tab!$C63,1,LEN($A$2)),$A$2)),"",""""&amp;$A$2&amp;tab!$A63&amp;"."&amp;tab!$B63&amp;""": """&amp;SUBSTITUTE(tab!$C63,"""","\""")&amp;""",")</f>
        <v/>
      </c>
    </row>
    <row r="63" ht="14.25" customHeight="1">
      <c r="B63" s="20" t="str">
        <f>IF(OR(ISBLANK(tab!$C64),EXACT(MID(tab!$C64,1,LEN($A$2)),$A$2)),"",""""&amp;$A$2&amp;tab!$A64&amp;"."&amp;tab!$B64&amp;""": """&amp;SUBSTITUTE(tab!$C64,"""","\""")&amp;""",")</f>
        <v/>
      </c>
    </row>
    <row r="64" ht="14.25" customHeight="1">
      <c r="B64" s="20" t="str">
        <f>IF(OR(ISBLANK(tab!$C65),EXACT(MID(tab!$C65,1,LEN($A$2)),$A$2)),"",""""&amp;$A$2&amp;tab!$A65&amp;"."&amp;tab!$B65&amp;""": """&amp;SUBSTITUTE(tab!$C65,"""","\""")&amp;""",")</f>
        <v/>
      </c>
    </row>
    <row r="65" ht="14.25" customHeight="1">
      <c r="B65" s="20" t="str">
        <f>IF(OR(ISBLANK(tab!$C66),EXACT(MID(tab!$C66,1,LEN($A$2)),$A$2)),"",""""&amp;$A$2&amp;tab!$A66&amp;"."&amp;tab!$B66&amp;""": """&amp;SUBSTITUTE(tab!$C66,"""","\""")&amp;""",")</f>
        <v/>
      </c>
    </row>
    <row r="66" ht="14.25" customHeight="1">
      <c r="B66" s="20" t="str">
        <f>IF(OR(ISBLANK(tab!$C67),EXACT(MID(tab!$C67,1,LEN($A$2)),$A$2)),"",""""&amp;$A$2&amp;tab!$A67&amp;"."&amp;tab!$B67&amp;""": """&amp;SUBSTITUTE(tab!$C67,"""","\""")&amp;""",")</f>
        <v/>
      </c>
    </row>
    <row r="67" ht="14.25" customHeight="1">
      <c r="B67" s="20" t="str">
        <f>IF(OR(ISBLANK(tab!$C68),EXACT(MID(tab!$C68,1,LEN($A$2)),$A$2)),"",""""&amp;$A$2&amp;tab!$A68&amp;"."&amp;tab!$B68&amp;""": """&amp;SUBSTITUTE(tab!$C68,"""","\""")&amp;""",")</f>
        <v/>
      </c>
    </row>
    <row r="68" ht="14.25" customHeight="1">
      <c r="B68" s="20" t="str">
        <f>IF(OR(ISBLANK(tab!$C69),EXACT(MID(tab!$C69,1,LEN($A$2)),$A$2)),"",""""&amp;$A$2&amp;tab!$A69&amp;"."&amp;tab!$B69&amp;""": """&amp;SUBSTITUTE(tab!$C69,"""","\""")&amp;""",")</f>
        <v/>
      </c>
    </row>
    <row r="69" ht="14.25" customHeight="1">
      <c r="B69" s="20" t="str">
        <f>IF(OR(ISBLANK(tab!$C70),EXACT(MID(tab!$C70,1,LEN($A$2)),$A$2)),"",""""&amp;$A$2&amp;tab!$A70&amp;"."&amp;tab!$B70&amp;""": """&amp;SUBSTITUTE(tab!$C70,"""","\""")&amp;""",")</f>
        <v/>
      </c>
    </row>
    <row r="70" ht="14.25" customHeight="1">
      <c r="B70" s="20" t="str">
        <f>IF(OR(ISBLANK(tab!$C71),EXACT(MID(tab!$C71,1,LEN($A$2)),$A$2)),"",""""&amp;$A$2&amp;tab!$A71&amp;"."&amp;tab!$B71&amp;""": """&amp;SUBSTITUTE(tab!$C71,"""","\""")&amp;""",")</f>
        <v/>
      </c>
    </row>
    <row r="71" ht="14.25" customHeight="1">
      <c r="B71" s="20" t="str">
        <f>IF(OR(ISBLANK(tab!$C72),EXACT(MID(tab!$C72,1,LEN($A$2)),$A$2)),"",""""&amp;$A$2&amp;tab!$A72&amp;"."&amp;tab!$B72&amp;""": """&amp;SUBSTITUTE(tab!$C72,"""","\""")&amp;""",")</f>
        <v/>
      </c>
    </row>
    <row r="72" ht="14.25" customHeight="1">
      <c r="B72" s="20" t="str">
        <f>IF(OR(ISBLANK(tab!$C73),EXACT(MID(tab!$C73,1,LEN($A$2)),$A$2)),"",""""&amp;$A$2&amp;tab!$A73&amp;"."&amp;tab!$B73&amp;""": """&amp;SUBSTITUTE(tab!$C73,"""","\""")&amp;""",")</f>
        <v/>
      </c>
    </row>
    <row r="73" ht="14.25" customHeight="1">
      <c r="B73" s="20" t="str">
        <f>IF(OR(ISBLANK(tab!$C74),EXACT(MID(tab!$C74,1,LEN($A$2)),$A$2)),"",""""&amp;$A$2&amp;tab!$A74&amp;"."&amp;tab!$B74&amp;""": """&amp;SUBSTITUTE(tab!$C74,"""","\""")&amp;""",")</f>
        <v/>
      </c>
    </row>
    <row r="74" ht="14.25" customHeight="1">
      <c r="B74" s="20" t="str">
        <f>IF(OR(ISBLANK(tab!$C75),EXACT(MID(tab!$C75,1,LEN($A$2)),$A$2)),"",""""&amp;$A$2&amp;tab!$A75&amp;"."&amp;tab!$B75&amp;""": """&amp;SUBSTITUTE(tab!$C75,"""","\""")&amp;""",")</f>
        <v/>
      </c>
    </row>
    <row r="75" ht="14.25" customHeight="1">
      <c r="B75" s="20" t="str">
        <f>IF(OR(ISBLANK(tab!$C76),EXACT(MID(tab!$C76,1,LEN($A$2)),$A$2)),"",""""&amp;$A$2&amp;tab!$A76&amp;"."&amp;tab!$B76&amp;""": """&amp;SUBSTITUTE(tab!$C76,"""","\""")&amp;""",")</f>
        <v/>
      </c>
    </row>
    <row r="76" ht="14.25" customHeight="1">
      <c r="B76" s="20" t="str">
        <f>IF(OR(ISBLANK(tab!$C77),EXACT(MID(tab!$C77,1,LEN($A$2)),$A$2)),"",""""&amp;$A$2&amp;tab!$A77&amp;"."&amp;tab!$B77&amp;""": """&amp;SUBSTITUTE(tab!$C77,"""","\""")&amp;""",")</f>
        <v/>
      </c>
    </row>
    <row r="77" ht="14.25" customHeight="1">
      <c r="B77" s="20" t="str">
        <f>IF(OR(ISBLANK(tab!$C78),EXACT(MID(tab!$C78,1,LEN($A$2)),$A$2)),"",""""&amp;$A$2&amp;tab!$A78&amp;"."&amp;tab!$B78&amp;""": """&amp;SUBSTITUTE(tab!$C78,"""","\""")&amp;""",")</f>
        <v/>
      </c>
    </row>
    <row r="78" ht="14.25" customHeight="1">
      <c r="B78" s="20" t="str">
        <f>IF(OR(ISBLANK(tab!$C79),EXACT(MID(tab!$C79,1,LEN($A$2)),$A$2)),"",""""&amp;$A$2&amp;tab!$A79&amp;"."&amp;tab!$B79&amp;""": """&amp;SUBSTITUTE(tab!$C79,"""","\""")&amp;""",")</f>
        <v/>
      </c>
    </row>
    <row r="79" ht="14.25" customHeight="1">
      <c r="B79" s="20" t="str">
        <f>IF(OR(ISBLANK(tab!$C80),EXACT(MID(tab!$C80,1,LEN($A$2)),$A$2)),"",""""&amp;$A$2&amp;tab!$A80&amp;"."&amp;tab!$B80&amp;""": """&amp;SUBSTITUTE(tab!$C80,"""","\""")&amp;""",")</f>
        <v/>
      </c>
    </row>
    <row r="80" ht="14.25" customHeight="1">
      <c r="B80" s="20" t="str">
        <f>IF(OR(ISBLANK(tab!$C81),EXACT(MID(tab!$C81,1,LEN($A$2)),$A$2)),"",""""&amp;$A$2&amp;tab!$A81&amp;"."&amp;tab!$B81&amp;""": """&amp;SUBSTITUTE(tab!$C81,"""","\""")&amp;""",")</f>
        <v/>
      </c>
    </row>
    <row r="81" ht="14.25" customHeight="1">
      <c r="B81" s="20" t="str">
        <f>IF(OR(ISBLANK(tab!$C82),EXACT(MID(tab!$C82,1,LEN($A$2)),$A$2)),"",""""&amp;$A$2&amp;tab!$A82&amp;"."&amp;tab!$B82&amp;""": """&amp;SUBSTITUTE(tab!$C82,"""","\""")&amp;""",")</f>
        <v/>
      </c>
    </row>
    <row r="82" ht="14.25" customHeight="1">
      <c r="B82" s="20" t="str">
        <f>IF(OR(ISBLANK(tab!$C83),EXACT(MID(tab!$C83,1,LEN($A$2)),$A$2)),"",""""&amp;$A$2&amp;tab!$A83&amp;"."&amp;tab!$B83&amp;""": """&amp;SUBSTITUTE(tab!$C83,"""","\""")&amp;""",")</f>
        <v/>
      </c>
    </row>
    <row r="83" ht="14.25" customHeight="1">
      <c r="B83" s="16"/>
    </row>
    <row r="84" ht="14.25" customHeight="1">
      <c r="B84" s="16"/>
    </row>
    <row r="85" ht="14.25" customHeight="1">
      <c r="B85" s="16"/>
    </row>
    <row r="86" ht="14.25" customHeight="1">
      <c r="B86" s="16"/>
    </row>
    <row r="87" ht="14.25" customHeight="1">
      <c r="B87" s="16"/>
    </row>
    <row r="88" ht="14.25" customHeight="1">
      <c r="B88" s="16"/>
    </row>
    <row r="89" ht="14.25" customHeight="1">
      <c r="B89" s="16"/>
    </row>
    <row r="90" ht="14.25" customHeight="1">
      <c r="B90" s="16"/>
    </row>
    <row r="91" ht="14.25" customHeight="1">
      <c r="B91" s="16"/>
    </row>
    <row r="92" ht="14.25" customHeight="1">
      <c r="B92" s="16"/>
    </row>
    <row r="93" ht="14.25" customHeight="1">
      <c r="B93" s="16"/>
    </row>
    <row r="94" ht="14.25" customHeight="1">
      <c r="B94" s="16"/>
    </row>
    <row r="95" ht="14.25" customHeight="1">
      <c r="B95" s="16"/>
    </row>
    <row r="96" ht="14.25" customHeight="1">
      <c r="B96" s="16"/>
    </row>
    <row r="97" ht="14.25" customHeight="1">
      <c r="B97" s="16"/>
    </row>
    <row r="98" ht="14.25" customHeight="1">
      <c r="B98" s="16"/>
    </row>
    <row r="99" ht="14.25" customHeight="1">
      <c r="B99" s="16"/>
    </row>
    <row r="100" ht="14.25" customHeight="1">
      <c r="B100" s="16"/>
    </row>
    <row r="101" ht="14.25" customHeight="1">
      <c r="B101" s="16"/>
    </row>
    <row r="102" ht="14.25" customHeight="1">
      <c r="B102" s="16"/>
    </row>
    <row r="103" ht="14.25" customHeight="1">
      <c r="B103" s="16"/>
    </row>
    <row r="104" ht="14.25" customHeight="1">
      <c r="B104" s="16"/>
    </row>
    <row r="105" ht="14.25" customHeight="1">
      <c r="B105" s="16"/>
    </row>
    <row r="106" ht="14.25" customHeight="1">
      <c r="B106" s="16"/>
    </row>
    <row r="107" ht="14.25" customHeight="1">
      <c r="B107" s="16"/>
    </row>
    <row r="108" ht="14.25" customHeight="1">
      <c r="B108" s="16"/>
    </row>
    <row r="109" ht="14.25" customHeight="1">
      <c r="B109" s="16"/>
    </row>
    <row r="110" ht="14.25" customHeight="1">
      <c r="B110" s="16"/>
    </row>
    <row r="111" ht="14.25" customHeight="1">
      <c r="B111" s="16"/>
    </row>
    <row r="112" ht="14.25" customHeight="1">
      <c r="B112" s="16"/>
    </row>
    <row r="113" ht="14.25" customHeight="1">
      <c r="B113" s="16"/>
    </row>
    <row r="114" ht="14.25" customHeight="1">
      <c r="B114" s="16"/>
    </row>
    <row r="115" ht="14.25" customHeight="1">
      <c r="B115" s="16"/>
    </row>
    <row r="116" ht="14.25" customHeight="1">
      <c r="B116" s="16"/>
    </row>
    <row r="117" ht="14.25" customHeight="1">
      <c r="B117" s="16"/>
    </row>
    <row r="118" ht="14.25" customHeight="1">
      <c r="B118" s="16"/>
    </row>
    <row r="119" ht="14.25" customHeight="1">
      <c r="B119" s="16"/>
    </row>
    <row r="120" ht="14.25" customHeight="1">
      <c r="B120" s="16"/>
    </row>
    <row r="121" ht="14.25" customHeight="1">
      <c r="B121" s="16"/>
    </row>
    <row r="122" ht="14.25" customHeight="1">
      <c r="B122" s="16"/>
    </row>
    <row r="123" ht="14.25" customHeight="1">
      <c r="B123" s="16"/>
    </row>
    <row r="124" ht="14.25" customHeight="1">
      <c r="B124" s="16"/>
    </row>
    <row r="125" ht="14.25" customHeight="1">
      <c r="B125" s="16"/>
    </row>
    <row r="126" ht="14.25" customHeight="1">
      <c r="B126" s="16"/>
    </row>
    <row r="127" ht="14.25" customHeight="1">
      <c r="B127" s="16"/>
    </row>
    <row r="128" ht="14.25" customHeight="1">
      <c r="B128" s="16"/>
    </row>
    <row r="129" ht="14.25" customHeight="1">
      <c r="B129" s="16"/>
    </row>
    <row r="130" ht="14.25" customHeight="1">
      <c r="B130" s="16"/>
    </row>
    <row r="131" ht="14.25" customHeight="1">
      <c r="B131" s="16"/>
    </row>
    <row r="132" ht="14.25" customHeight="1">
      <c r="B132" s="16"/>
    </row>
    <row r="133" ht="14.25" customHeight="1">
      <c r="B133" s="16"/>
    </row>
    <row r="134" ht="14.25" customHeight="1">
      <c r="B134" s="16"/>
    </row>
    <row r="135" ht="14.25" customHeight="1">
      <c r="B135" s="16"/>
    </row>
    <row r="136" ht="14.25" customHeight="1">
      <c r="B136" s="16"/>
    </row>
    <row r="137" ht="14.25" customHeight="1">
      <c r="B137" s="16"/>
    </row>
    <row r="138" ht="14.25" customHeight="1">
      <c r="B138" s="16"/>
    </row>
    <row r="139" ht="14.25" customHeight="1">
      <c r="B139" s="16"/>
    </row>
    <row r="140" ht="14.25" customHeight="1">
      <c r="B140" s="16"/>
    </row>
    <row r="141" ht="14.25" customHeight="1">
      <c r="B141" s="16"/>
    </row>
    <row r="142" ht="14.25" customHeight="1">
      <c r="B142" s="16"/>
    </row>
    <row r="143" ht="14.25" customHeight="1">
      <c r="B143" s="16"/>
    </row>
    <row r="144" ht="14.25" customHeight="1">
      <c r="B144" s="16"/>
    </row>
    <row r="145" ht="14.25" customHeight="1">
      <c r="B145" s="16"/>
    </row>
    <row r="146" ht="14.25" customHeight="1">
      <c r="B146" s="16"/>
    </row>
    <row r="147" ht="14.25" customHeight="1">
      <c r="B147" s="16"/>
    </row>
    <row r="148" ht="14.25" customHeight="1">
      <c r="B148" s="16"/>
    </row>
    <row r="149" ht="14.25" customHeight="1">
      <c r="B149" s="16"/>
    </row>
    <row r="150" ht="14.25" customHeight="1">
      <c r="B150" s="16"/>
    </row>
    <row r="151" ht="14.25" customHeight="1">
      <c r="B151" s="16"/>
    </row>
    <row r="152" ht="14.25" customHeight="1">
      <c r="B152" s="16"/>
    </row>
    <row r="153" ht="14.25" customHeight="1">
      <c r="B153" s="16"/>
    </row>
    <row r="154" ht="14.25" customHeight="1">
      <c r="B154" s="16"/>
    </row>
    <row r="155" ht="14.25" customHeight="1">
      <c r="B155" s="16"/>
    </row>
    <row r="156" ht="14.25" customHeight="1">
      <c r="B156" s="16"/>
    </row>
    <row r="157" ht="14.25" customHeight="1">
      <c r="B157" s="16"/>
    </row>
    <row r="158" ht="14.25" customHeight="1">
      <c r="B158" s="16"/>
    </row>
    <row r="159" ht="14.25" customHeight="1">
      <c r="B159" s="16"/>
    </row>
    <row r="160" ht="14.25" customHeight="1">
      <c r="B160" s="16"/>
    </row>
    <row r="161" ht="14.25" customHeight="1">
      <c r="B161" s="16"/>
    </row>
    <row r="162" ht="14.25" customHeight="1">
      <c r="B162" s="16"/>
    </row>
    <row r="163" ht="14.25" customHeight="1">
      <c r="B163" s="16"/>
    </row>
    <row r="164" ht="14.25" customHeight="1">
      <c r="B164" s="16"/>
    </row>
    <row r="165" ht="14.25" customHeight="1">
      <c r="B165" s="16"/>
    </row>
    <row r="166" ht="14.25" customHeight="1">
      <c r="B166" s="16"/>
    </row>
    <row r="167" ht="14.25" customHeight="1">
      <c r="B167" s="16"/>
    </row>
    <row r="168" ht="14.25" customHeight="1">
      <c r="B168" s="16"/>
    </row>
    <row r="169" ht="14.25" customHeight="1">
      <c r="B169" s="16"/>
    </row>
    <row r="170" ht="14.25" customHeight="1">
      <c r="B170" s="16"/>
    </row>
    <row r="171" ht="14.25" customHeight="1">
      <c r="B171" s="16"/>
    </row>
    <row r="172" ht="14.25" customHeight="1">
      <c r="B172" s="16"/>
    </row>
    <row r="173" ht="14.25" customHeight="1">
      <c r="B173" s="16"/>
    </row>
    <row r="174" ht="14.25" customHeight="1">
      <c r="B174" s="16"/>
    </row>
    <row r="175" ht="14.25" customHeight="1">
      <c r="B175" s="16"/>
    </row>
    <row r="176" ht="14.25" customHeight="1">
      <c r="B176" s="16"/>
    </row>
    <row r="177" ht="14.25" customHeight="1">
      <c r="B177" s="16"/>
    </row>
    <row r="178" ht="14.25" customHeight="1">
      <c r="B178" s="16"/>
    </row>
    <row r="179" ht="14.25" customHeight="1">
      <c r="B179" s="16"/>
    </row>
    <row r="180" ht="14.25" customHeight="1">
      <c r="B180" s="16"/>
    </row>
    <row r="181" ht="14.25" customHeight="1">
      <c r="B181" s="16"/>
    </row>
    <row r="182" ht="14.25" customHeight="1">
      <c r="B182" s="16"/>
    </row>
    <row r="183" ht="14.25" customHeight="1">
      <c r="B183" s="16"/>
    </row>
    <row r="184" ht="14.25" customHeight="1">
      <c r="B184" s="16"/>
    </row>
    <row r="185" ht="14.25" customHeight="1">
      <c r="B185" s="16"/>
    </row>
    <row r="186" ht="14.25" customHeight="1">
      <c r="B186" s="16"/>
    </row>
    <row r="187" ht="14.25" customHeight="1">
      <c r="B187" s="16"/>
    </row>
    <row r="188" ht="14.25" customHeight="1">
      <c r="B188" s="16"/>
    </row>
    <row r="189" ht="14.25" customHeight="1">
      <c r="B189" s="16"/>
    </row>
    <row r="190" ht="14.25" customHeight="1">
      <c r="B190" s="16"/>
    </row>
    <row r="191" ht="14.25" customHeight="1">
      <c r="B191" s="16"/>
    </row>
    <row r="192" ht="14.25" customHeight="1">
      <c r="B192" s="16"/>
    </row>
    <row r="193" ht="14.25" customHeight="1">
      <c r="B193" s="16"/>
    </row>
    <row r="194" ht="14.25" customHeight="1">
      <c r="B194" s="16"/>
    </row>
    <row r="195" ht="14.25" customHeight="1">
      <c r="B195" s="16"/>
    </row>
    <row r="196" ht="14.25" customHeight="1">
      <c r="B196" s="16"/>
    </row>
    <row r="197" ht="14.25" customHeight="1">
      <c r="B197" s="16"/>
    </row>
    <row r="198" ht="14.25" customHeight="1">
      <c r="B198" s="16"/>
    </row>
    <row r="199" ht="14.25" customHeight="1">
      <c r="B199" s="16"/>
    </row>
    <row r="200" ht="14.25" customHeight="1">
      <c r="B200" s="16"/>
    </row>
    <row r="201" ht="14.25" customHeight="1">
      <c r="B201" s="16"/>
    </row>
    <row r="202" ht="14.25" customHeight="1">
      <c r="B202" s="16"/>
    </row>
    <row r="203" ht="14.25" customHeight="1">
      <c r="B203" s="16"/>
    </row>
    <row r="204" ht="14.25" customHeight="1">
      <c r="B204" s="16"/>
    </row>
    <row r="205" ht="14.25" customHeight="1">
      <c r="B205" s="16"/>
    </row>
    <row r="206" ht="14.25" customHeight="1">
      <c r="B206" s="16"/>
    </row>
    <row r="207" ht="14.25" customHeight="1">
      <c r="B207" s="16"/>
    </row>
    <row r="208" ht="14.25" customHeight="1">
      <c r="B208" s="16"/>
    </row>
    <row r="209" ht="14.25" customHeight="1">
      <c r="B209" s="16"/>
    </row>
    <row r="210" ht="14.25" customHeight="1">
      <c r="B210" s="16"/>
    </row>
    <row r="211" ht="14.25" customHeight="1">
      <c r="B211" s="16"/>
    </row>
    <row r="212" ht="14.25" customHeight="1">
      <c r="B212" s="16"/>
    </row>
    <row r="213" ht="14.25" customHeight="1">
      <c r="B213" s="16"/>
    </row>
    <row r="214" ht="14.25" customHeight="1">
      <c r="B214" s="16"/>
    </row>
    <row r="215" ht="14.25" customHeight="1">
      <c r="B215" s="16"/>
    </row>
    <row r="216" ht="14.25" customHeight="1">
      <c r="B216" s="16"/>
    </row>
    <row r="217" ht="14.25" customHeight="1">
      <c r="B217" s="16"/>
    </row>
    <row r="218" ht="14.25" customHeight="1">
      <c r="B218" s="16"/>
    </row>
    <row r="219" ht="14.25" customHeight="1">
      <c r="B219" s="16"/>
    </row>
    <row r="220" ht="14.25" customHeight="1">
      <c r="B220" s="16"/>
    </row>
    <row r="221" ht="14.25" customHeight="1">
      <c r="B221" s="16"/>
    </row>
    <row r="222" ht="14.25" customHeight="1">
      <c r="B222" s="16"/>
    </row>
    <row r="223" ht="14.25" customHeight="1">
      <c r="B223" s="16"/>
    </row>
    <row r="224" ht="14.25" customHeight="1">
      <c r="B224" s="16"/>
    </row>
    <row r="225" ht="14.25" customHeight="1">
      <c r="B225" s="16"/>
    </row>
    <row r="226" ht="14.25" customHeight="1">
      <c r="B226" s="16"/>
    </row>
    <row r="227" ht="14.25" customHeight="1">
      <c r="B227" s="16"/>
    </row>
    <row r="228" ht="14.25" customHeight="1">
      <c r="B228" s="16"/>
    </row>
    <row r="229" ht="14.25" customHeight="1">
      <c r="B229" s="16"/>
    </row>
    <row r="230" ht="14.25" customHeight="1">
      <c r="B230" s="16"/>
    </row>
    <row r="231" ht="14.25" customHeight="1">
      <c r="B231" s="16"/>
    </row>
    <row r="232" ht="14.25" customHeight="1">
      <c r="B232" s="16"/>
    </row>
    <row r="233" ht="14.25" customHeight="1">
      <c r="B233" s="16"/>
    </row>
    <row r="234" ht="14.25" customHeight="1">
      <c r="B234" s="16"/>
    </row>
    <row r="235" ht="14.25" customHeight="1">
      <c r="B235" s="16"/>
    </row>
    <row r="236" ht="14.25" customHeight="1">
      <c r="B236" s="16"/>
    </row>
    <row r="237" ht="14.25" customHeight="1">
      <c r="B237" s="16"/>
    </row>
    <row r="238" ht="14.25" customHeight="1">
      <c r="B238" s="16"/>
    </row>
    <row r="239" ht="14.25" customHeight="1">
      <c r="B239" s="16"/>
    </row>
    <row r="240" ht="14.25" customHeight="1">
      <c r="B240" s="16"/>
    </row>
    <row r="241" ht="14.25" customHeight="1">
      <c r="B241" s="16"/>
    </row>
    <row r="242" ht="14.25" customHeight="1">
      <c r="B242" s="16"/>
    </row>
    <row r="243" ht="14.25" customHeight="1">
      <c r="B243" s="16"/>
    </row>
    <row r="244" ht="14.25" customHeight="1">
      <c r="B244" s="16"/>
    </row>
    <row r="245" ht="14.25" customHeight="1">
      <c r="B245" s="16"/>
    </row>
    <row r="246" ht="14.25" customHeight="1">
      <c r="B246" s="16"/>
    </row>
    <row r="247" ht="14.25" customHeight="1">
      <c r="B247" s="16"/>
    </row>
    <row r="248" ht="14.25" customHeight="1">
      <c r="B248" s="16"/>
    </row>
    <row r="249" ht="14.25" customHeight="1">
      <c r="B249" s="16"/>
    </row>
    <row r="250" ht="14.25" customHeight="1">
      <c r="B250" s="16"/>
    </row>
    <row r="251" ht="14.25" customHeight="1">
      <c r="B251" s="16"/>
    </row>
    <row r="252" ht="14.25" customHeight="1">
      <c r="B252" s="16"/>
    </row>
    <row r="253" ht="14.25" customHeight="1">
      <c r="B253" s="16"/>
    </row>
    <row r="254" ht="14.25" customHeight="1">
      <c r="B254" s="16"/>
    </row>
    <row r="255" ht="14.25" customHeight="1">
      <c r="B255" s="16"/>
    </row>
    <row r="256" ht="14.25" customHeight="1">
      <c r="B256" s="16"/>
    </row>
    <row r="257" ht="14.25" customHeight="1">
      <c r="B257" s="16"/>
    </row>
    <row r="258" ht="14.25" customHeight="1">
      <c r="B258" s="16"/>
    </row>
    <row r="259" ht="14.25" customHeight="1">
      <c r="B259" s="16"/>
    </row>
    <row r="260" ht="14.25" customHeight="1">
      <c r="B260" s="16"/>
    </row>
    <row r="261" ht="14.25" customHeight="1">
      <c r="B261" s="16"/>
    </row>
    <row r="262" ht="14.25" customHeight="1">
      <c r="B262" s="16"/>
    </row>
    <row r="263" ht="14.25" customHeight="1">
      <c r="B263" s="16"/>
    </row>
    <row r="264" ht="14.25" customHeight="1">
      <c r="B264" s="16"/>
    </row>
    <row r="265" ht="14.25" customHeight="1">
      <c r="B265" s="16"/>
    </row>
    <row r="266" ht="14.25" customHeight="1">
      <c r="B266" s="16"/>
    </row>
    <row r="267" ht="14.25" customHeight="1">
      <c r="B267" s="16"/>
    </row>
    <row r="268" ht="14.25" customHeight="1">
      <c r="B268" s="16"/>
    </row>
    <row r="269" ht="14.25" customHeight="1">
      <c r="B269" s="16"/>
    </row>
    <row r="270" ht="14.25" customHeight="1">
      <c r="B270" s="16"/>
    </row>
    <row r="271" ht="14.25" customHeight="1">
      <c r="B271" s="16"/>
    </row>
    <row r="272" ht="14.25" customHeight="1">
      <c r="B272" s="16"/>
    </row>
    <row r="273" ht="14.25" customHeight="1">
      <c r="B273" s="16"/>
    </row>
    <row r="274" ht="14.25" customHeight="1">
      <c r="B274" s="16"/>
    </row>
    <row r="275" ht="14.25" customHeight="1">
      <c r="B275" s="16"/>
    </row>
    <row r="276" ht="14.25" customHeight="1">
      <c r="B276" s="16"/>
    </row>
    <row r="277" ht="14.25" customHeight="1">
      <c r="B277" s="16"/>
    </row>
    <row r="278" ht="14.25" customHeight="1">
      <c r="B278" s="16"/>
    </row>
    <row r="279" ht="14.25" customHeight="1">
      <c r="B279" s="16"/>
    </row>
    <row r="280" ht="14.25" customHeight="1">
      <c r="B280" s="16"/>
    </row>
    <row r="281" ht="14.25" customHeight="1">
      <c r="B281" s="16"/>
    </row>
    <row r="282" ht="14.25" customHeight="1">
      <c r="B282" s="16"/>
    </row>
    <row r="283" ht="14.25" customHeight="1">
      <c r="B283" s="16"/>
    </row>
    <row r="284" ht="14.25" customHeight="1">
      <c r="B284" s="16"/>
    </row>
    <row r="285" ht="14.25" customHeight="1">
      <c r="B285" s="16"/>
    </row>
    <row r="286" ht="14.25" customHeight="1">
      <c r="B286" s="16"/>
    </row>
    <row r="287" ht="14.25" customHeight="1">
      <c r="B287" s="16"/>
    </row>
    <row r="288" ht="14.25" customHeight="1">
      <c r="B288" s="16"/>
    </row>
    <row r="289" ht="14.25" customHeight="1">
      <c r="B289" s="16"/>
    </row>
    <row r="290" ht="14.25" customHeight="1">
      <c r="B290" s="16"/>
    </row>
    <row r="291" ht="14.25" customHeight="1">
      <c r="B291" s="16"/>
    </row>
    <row r="292" ht="14.25" customHeight="1">
      <c r="B292" s="16"/>
    </row>
    <row r="293" ht="14.25" customHeight="1">
      <c r="B293" s="16"/>
    </row>
    <row r="294" ht="14.25" customHeight="1">
      <c r="B294" s="16"/>
    </row>
    <row r="295" ht="14.25" customHeight="1">
      <c r="B295" s="16"/>
    </row>
    <row r="296" ht="14.25" customHeight="1">
      <c r="B296" s="16"/>
    </row>
    <row r="297" ht="14.25" customHeight="1">
      <c r="B297" s="16"/>
    </row>
    <row r="298" ht="14.25" customHeight="1">
      <c r="B298" s="16"/>
    </row>
    <row r="299" ht="14.25" customHeight="1">
      <c r="B299" s="16"/>
    </row>
    <row r="300" ht="14.25" customHeight="1">
      <c r="B300" s="16"/>
    </row>
    <row r="301" ht="14.25" customHeight="1">
      <c r="B301" s="16"/>
    </row>
    <row r="302" ht="14.25" customHeight="1">
      <c r="B302" s="16"/>
    </row>
    <row r="303" ht="14.25" customHeight="1">
      <c r="B303" s="16"/>
    </row>
    <row r="304" ht="14.25" customHeight="1">
      <c r="B304" s="16"/>
    </row>
    <row r="305" ht="14.25" customHeight="1">
      <c r="B305" s="16"/>
    </row>
    <row r="306" ht="14.25" customHeight="1">
      <c r="B306" s="16"/>
    </row>
    <row r="307" ht="14.25" customHeight="1">
      <c r="B307" s="16"/>
    </row>
    <row r="308" ht="14.25" customHeight="1">
      <c r="B308" s="16"/>
    </row>
    <row r="309" ht="14.25" customHeight="1">
      <c r="B309" s="16"/>
    </row>
    <row r="310" ht="14.25" customHeight="1">
      <c r="B310" s="16"/>
    </row>
    <row r="311" ht="14.25" customHeight="1">
      <c r="B311" s="16"/>
    </row>
    <row r="312" ht="14.25" customHeight="1">
      <c r="B312" s="16"/>
    </row>
    <row r="313" ht="14.25" customHeight="1">
      <c r="B313" s="16"/>
    </row>
    <row r="314" ht="14.25" customHeight="1">
      <c r="B314" s="16"/>
    </row>
    <row r="315" ht="14.25" customHeight="1">
      <c r="B315" s="16"/>
    </row>
    <row r="316" ht="14.25" customHeight="1">
      <c r="B316" s="16"/>
    </row>
    <row r="317" ht="14.25" customHeight="1">
      <c r="B317" s="16"/>
    </row>
    <row r="318" ht="14.25" customHeight="1">
      <c r="B318" s="16"/>
    </row>
    <row r="319" ht="14.25" customHeight="1">
      <c r="B319" s="16"/>
    </row>
    <row r="320" ht="14.25" customHeight="1">
      <c r="B320" s="16"/>
    </row>
    <row r="321" ht="14.25" customHeight="1">
      <c r="B321" s="16"/>
    </row>
    <row r="322" ht="14.25" customHeight="1">
      <c r="B322" s="16"/>
    </row>
    <row r="323" ht="14.25" customHeight="1">
      <c r="B323" s="16"/>
    </row>
    <row r="324" ht="14.25" customHeight="1">
      <c r="B324" s="16"/>
    </row>
    <row r="325" ht="14.25" customHeight="1">
      <c r="B325" s="16"/>
    </row>
    <row r="326" ht="14.25" customHeight="1">
      <c r="B326" s="16"/>
    </row>
    <row r="327" ht="14.25" customHeight="1">
      <c r="B327" s="16"/>
    </row>
    <row r="328" ht="14.25" customHeight="1">
      <c r="B328" s="16"/>
    </row>
    <row r="329" ht="14.25" customHeight="1">
      <c r="B329" s="16"/>
    </row>
    <row r="330" ht="14.25" customHeight="1">
      <c r="B330" s="16"/>
    </row>
    <row r="331" ht="14.25" customHeight="1">
      <c r="B331" s="16"/>
    </row>
    <row r="332" ht="14.25" customHeight="1">
      <c r="B332" s="16"/>
    </row>
    <row r="333" ht="14.25" customHeight="1">
      <c r="B333" s="16"/>
    </row>
    <row r="334" ht="14.25" customHeight="1">
      <c r="B334" s="16"/>
    </row>
    <row r="335" ht="14.25" customHeight="1">
      <c r="B335" s="16"/>
    </row>
    <row r="336" ht="14.25" customHeight="1">
      <c r="B336" s="16"/>
    </row>
    <row r="337" ht="14.25" customHeight="1">
      <c r="B337" s="16"/>
    </row>
    <row r="338" ht="14.25" customHeight="1">
      <c r="B338" s="16"/>
    </row>
    <row r="339" ht="14.25" customHeight="1">
      <c r="B339" s="16"/>
    </row>
    <row r="340" ht="14.25" customHeight="1">
      <c r="B340" s="16"/>
    </row>
    <row r="341" ht="14.25" customHeight="1">
      <c r="B341" s="16"/>
    </row>
    <row r="342" ht="14.25" customHeight="1">
      <c r="B342" s="16"/>
    </row>
    <row r="343" ht="14.25" customHeight="1">
      <c r="B343" s="16"/>
    </row>
    <row r="344" ht="14.25" customHeight="1">
      <c r="B344" s="16"/>
    </row>
    <row r="345" ht="14.25" customHeight="1">
      <c r="B345" s="16"/>
    </row>
    <row r="346" ht="14.25" customHeight="1">
      <c r="B346" s="16"/>
    </row>
    <row r="347" ht="14.25" customHeight="1">
      <c r="B347" s="16"/>
    </row>
    <row r="348" ht="14.25" customHeight="1">
      <c r="B348" s="16"/>
    </row>
    <row r="349" ht="14.25" customHeight="1">
      <c r="B349" s="16"/>
    </row>
    <row r="350" ht="14.25" customHeight="1">
      <c r="B350" s="16"/>
    </row>
    <row r="351" ht="14.25" customHeight="1">
      <c r="B351" s="16"/>
    </row>
    <row r="352" ht="14.25" customHeight="1">
      <c r="B352" s="16"/>
    </row>
    <row r="353" ht="14.25" customHeight="1">
      <c r="B353" s="16"/>
    </row>
    <row r="354" ht="14.25" customHeight="1">
      <c r="B354" s="16"/>
    </row>
    <row r="355" ht="14.25" customHeight="1">
      <c r="B355" s="16"/>
    </row>
    <row r="356" ht="14.25" customHeight="1">
      <c r="B356" s="16"/>
    </row>
    <row r="357" ht="14.25" customHeight="1">
      <c r="B357" s="16"/>
    </row>
    <row r="358" ht="14.25" customHeight="1">
      <c r="B358" s="16"/>
    </row>
    <row r="359" ht="14.25" customHeight="1">
      <c r="B359" s="16"/>
    </row>
    <row r="360" ht="14.25" customHeight="1">
      <c r="B360" s="16"/>
    </row>
    <row r="361" ht="14.25" customHeight="1">
      <c r="B361" s="16"/>
    </row>
    <row r="362" ht="14.25" customHeight="1">
      <c r="B362" s="16"/>
    </row>
    <row r="363" ht="14.25" customHeight="1">
      <c r="B363" s="16"/>
    </row>
    <row r="364" ht="14.25" customHeight="1">
      <c r="B364" s="16"/>
    </row>
    <row r="365" ht="14.25" customHeight="1">
      <c r="B365" s="16"/>
    </row>
    <row r="366" ht="14.25" customHeight="1">
      <c r="B366" s="16"/>
    </row>
    <row r="367" ht="14.25" customHeight="1">
      <c r="B367" s="16"/>
    </row>
    <row r="368" ht="14.25" customHeight="1">
      <c r="B368" s="16"/>
    </row>
    <row r="369" ht="14.25" customHeight="1">
      <c r="B369" s="16"/>
    </row>
    <row r="370" ht="14.25" customHeight="1">
      <c r="B370" s="16"/>
    </row>
    <row r="371" ht="14.25" customHeight="1">
      <c r="B371" s="16"/>
    </row>
    <row r="372" ht="14.25" customHeight="1">
      <c r="B372" s="16"/>
    </row>
    <row r="373" ht="14.25" customHeight="1">
      <c r="B373" s="16"/>
    </row>
    <row r="374" ht="14.25" customHeight="1">
      <c r="B374" s="16"/>
    </row>
    <row r="375" ht="14.25" customHeight="1">
      <c r="B375" s="16"/>
    </row>
    <row r="376" ht="14.25" customHeight="1">
      <c r="B376" s="16"/>
    </row>
    <row r="377" ht="14.25" customHeight="1">
      <c r="B377" s="16"/>
    </row>
    <row r="378" ht="14.25" customHeight="1">
      <c r="B378" s="16"/>
    </row>
    <row r="379" ht="14.25" customHeight="1">
      <c r="B379" s="16"/>
    </row>
    <row r="380" ht="14.25" customHeight="1">
      <c r="B380" s="16"/>
    </row>
    <row r="381" ht="14.25" customHeight="1">
      <c r="B381" s="16"/>
    </row>
    <row r="382" ht="14.25" customHeight="1">
      <c r="B382" s="16"/>
    </row>
    <row r="383" ht="14.25" customHeight="1">
      <c r="B383" s="16"/>
    </row>
    <row r="384" ht="14.25" customHeight="1">
      <c r="B384" s="16"/>
    </row>
    <row r="385" ht="14.25" customHeight="1">
      <c r="B385" s="16"/>
    </row>
    <row r="386" ht="14.25" customHeight="1">
      <c r="B386" s="16"/>
    </row>
    <row r="387" ht="14.25" customHeight="1">
      <c r="B387" s="16"/>
    </row>
    <row r="388" ht="14.25" customHeight="1">
      <c r="B388" s="16"/>
    </row>
    <row r="389" ht="14.25" customHeight="1">
      <c r="B389" s="16"/>
    </row>
    <row r="390" ht="14.25" customHeight="1">
      <c r="B390" s="16"/>
    </row>
    <row r="391" ht="14.25" customHeight="1">
      <c r="B391" s="16"/>
    </row>
    <row r="392" ht="14.25" customHeight="1">
      <c r="B392" s="16"/>
    </row>
    <row r="393" ht="14.25" customHeight="1">
      <c r="B393" s="16"/>
    </row>
    <row r="394" ht="14.25" customHeight="1">
      <c r="B394" s="16"/>
    </row>
    <row r="395" ht="14.25" customHeight="1">
      <c r="B395" s="16"/>
    </row>
    <row r="396" ht="14.25" customHeight="1">
      <c r="B396" s="16"/>
    </row>
    <row r="397" ht="14.25" customHeight="1">
      <c r="B397" s="16"/>
    </row>
    <row r="398" ht="14.25" customHeight="1">
      <c r="B398" s="16"/>
    </row>
    <row r="399" ht="14.25" customHeight="1">
      <c r="B399" s="16"/>
    </row>
    <row r="400" ht="14.25" customHeight="1">
      <c r="B400" s="16"/>
    </row>
    <row r="401" ht="14.25" customHeight="1">
      <c r="B401" s="16"/>
    </row>
    <row r="402" ht="14.25" customHeight="1">
      <c r="B402" s="16"/>
    </row>
    <row r="403" ht="14.25" customHeight="1">
      <c r="B403" s="16"/>
    </row>
    <row r="404" ht="14.25" customHeight="1">
      <c r="B404" s="16"/>
    </row>
    <row r="405" ht="14.25" customHeight="1">
      <c r="B405" s="16"/>
    </row>
    <row r="406" ht="14.25" customHeight="1">
      <c r="B406" s="16"/>
    </row>
    <row r="407" ht="14.25" customHeight="1">
      <c r="B407" s="16"/>
    </row>
    <row r="408" ht="14.25" customHeight="1">
      <c r="B408" s="16"/>
    </row>
    <row r="409" ht="14.25" customHeight="1">
      <c r="B409" s="16"/>
    </row>
    <row r="410" ht="14.25" customHeight="1">
      <c r="B410" s="16"/>
    </row>
    <row r="411" ht="14.25" customHeight="1">
      <c r="B411" s="16"/>
    </row>
    <row r="412" ht="14.25" customHeight="1">
      <c r="B412" s="16"/>
    </row>
    <row r="413" ht="14.25" customHeight="1">
      <c r="B413" s="16"/>
    </row>
    <row r="414" ht="14.25" customHeight="1">
      <c r="B414" s="16"/>
    </row>
    <row r="415" ht="14.25" customHeight="1">
      <c r="B415" s="16"/>
    </row>
    <row r="416" ht="14.25" customHeight="1">
      <c r="B416" s="16"/>
    </row>
    <row r="417" ht="14.25" customHeight="1">
      <c r="B417" s="16"/>
    </row>
    <row r="418" ht="14.25" customHeight="1">
      <c r="B418" s="16"/>
    </row>
    <row r="419" ht="14.25" customHeight="1">
      <c r="B419" s="16"/>
    </row>
    <row r="420" ht="14.25" customHeight="1">
      <c r="B420" s="16"/>
    </row>
    <row r="421" ht="14.25" customHeight="1">
      <c r="B421" s="16"/>
    </row>
    <row r="422" ht="14.25" customHeight="1">
      <c r="B422" s="16"/>
    </row>
    <row r="423" ht="14.25" customHeight="1">
      <c r="B423" s="16"/>
    </row>
    <row r="424" ht="14.25" customHeight="1">
      <c r="B424" s="16"/>
    </row>
    <row r="425" ht="14.25" customHeight="1">
      <c r="B425" s="16"/>
    </row>
    <row r="426" ht="14.25" customHeight="1">
      <c r="B426" s="16"/>
    </row>
    <row r="427" ht="14.25" customHeight="1">
      <c r="B427" s="16"/>
    </row>
    <row r="428" ht="14.25" customHeight="1">
      <c r="B428" s="16"/>
    </row>
    <row r="429" ht="14.25" customHeight="1">
      <c r="B429" s="16"/>
    </row>
    <row r="430" ht="14.25" customHeight="1">
      <c r="B430" s="16"/>
    </row>
    <row r="431" ht="14.25" customHeight="1">
      <c r="B431" s="16"/>
    </row>
    <row r="432" ht="14.25" customHeight="1">
      <c r="B432" s="16"/>
    </row>
    <row r="433" ht="14.25" customHeight="1">
      <c r="B433" s="16"/>
    </row>
    <row r="434" ht="14.25" customHeight="1">
      <c r="B434" s="16"/>
    </row>
    <row r="435" ht="14.25" customHeight="1">
      <c r="B435" s="16"/>
    </row>
    <row r="436" ht="14.25" customHeight="1">
      <c r="B436" s="16"/>
    </row>
    <row r="437" ht="14.25" customHeight="1">
      <c r="B437" s="16"/>
    </row>
    <row r="438" ht="14.25" customHeight="1">
      <c r="B438" s="16"/>
    </row>
    <row r="439" ht="14.25" customHeight="1">
      <c r="B439" s="16"/>
    </row>
    <row r="440" ht="14.25" customHeight="1">
      <c r="B440" s="16"/>
    </row>
    <row r="441" ht="14.25" customHeight="1">
      <c r="B441" s="16"/>
    </row>
    <row r="442" ht="14.25" customHeight="1">
      <c r="B442" s="16"/>
    </row>
    <row r="443" ht="14.25" customHeight="1">
      <c r="B443" s="16"/>
    </row>
    <row r="444" ht="14.25" customHeight="1">
      <c r="B444" s="16"/>
    </row>
    <row r="445" ht="14.25" customHeight="1">
      <c r="B445" s="16"/>
    </row>
    <row r="446" ht="14.25" customHeight="1">
      <c r="B446" s="16"/>
    </row>
    <row r="447" ht="14.25" customHeight="1">
      <c r="B447" s="16"/>
    </row>
    <row r="448" ht="14.25" customHeight="1">
      <c r="B448" s="16"/>
    </row>
    <row r="449" ht="14.25" customHeight="1">
      <c r="B449" s="16"/>
    </row>
    <row r="450" ht="14.25" customHeight="1">
      <c r="B450" s="16"/>
    </row>
    <row r="451" ht="14.25" customHeight="1">
      <c r="B451" s="16"/>
    </row>
    <row r="452" ht="14.25" customHeight="1">
      <c r="B452" s="16"/>
    </row>
    <row r="453" ht="14.25" customHeight="1">
      <c r="B453" s="16"/>
    </row>
    <row r="454" ht="14.25" customHeight="1">
      <c r="B454" s="16"/>
    </row>
    <row r="455" ht="14.25" customHeight="1">
      <c r="B455" s="16"/>
    </row>
    <row r="456" ht="14.25" customHeight="1">
      <c r="B456" s="16"/>
    </row>
    <row r="457" ht="14.25" customHeight="1">
      <c r="B457" s="16"/>
    </row>
    <row r="458" ht="14.25" customHeight="1">
      <c r="B458" s="16"/>
    </row>
    <row r="459" ht="14.25" customHeight="1">
      <c r="B459" s="16"/>
    </row>
    <row r="460" ht="14.25" customHeight="1">
      <c r="B460" s="16"/>
    </row>
    <row r="461" ht="14.25" customHeight="1">
      <c r="B461" s="16"/>
    </row>
    <row r="462" ht="14.25" customHeight="1">
      <c r="B462" s="16"/>
    </row>
    <row r="463" ht="14.25" customHeight="1">
      <c r="B463" s="16"/>
    </row>
    <row r="464" ht="14.25" customHeight="1">
      <c r="B464" s="16"/>
    </row>
    <row r="465" ht="14.25" customHeight="1">
      <c r="B465" s="16"/>
    </row>
    <row r="466" ht="14.25" customHeight="1">
      <c r="B466" s="16"/>
    </row>
    <row r="467" ht="14.25" customHeight="1">
      <c r="B467" s="16"/>
    </row>
    <row r="468" ht="14.25" customHeight="1">
      <c r="B468" s="16"/>
    </row>
    <row r="469" ht="14.25" customHeight="1">
      <c r="B469" s="16"/>
    </row>
    <row r="470" ht="14.25" customHeight="1">
      <c r="B470" s="16"/>
    </row>
    <row r="471" ht="14.25" customHeight="1">
      <c r="B471" s="16"/>
    </row>
    <row r="472" ht="14.25" customHeight="1">
      <c r="B472" s="16"/>
    </row>
    <row r="473" ht="14.25" customHeight="1">
      <c r="B473" s="16"/>
    </row>
    <row r="474" ht="14.25" customHeight="1">
      <c r="B474" s="16"/>
    </row>
    <row r="475" ht="14.25" customHeight="1">
      <c r="B475" s="16"/>
    </row>
    <row r="476" ht="14.25" customHeight="1">
      <c r="B476" s="16"/>
    </row>
    <row r="477" ht="14.25" customHeight="1">
      <c r="B477" s="16"/>
    </row>
    <row r="478" ht="14.25" customHeight="1">
      <c r="B478" s="16"/>
    </row>
    <row r="479" ht="14.25" customHeight="1">
      <c r="B479" s="16"/>
    </row>
    <row r="480" ht="14.25" customHeight="1">
      <c r="B480" s="16"/>
    </row>
    <row r="481" ht="14.25" customHeight="1">
      <c r="B481" s="16"/>
    </row>
    <row r="482" ht="14.25" customHeight="1">
      <c r="B482" s="16"/>
    </row>
    <row r="483" ht="14.25" customHeight="1">
      <c r="B483" s="16"/>
    </row>
    <row r="484" ht="14.25" customHeight="1">
      <c r="B484" s="16"/>
    </row>
    <row r="485" ht="14.25" customHeight="1">
      <c r="B485" s="16"/>
    </row>
    <row r="486" ht="14.25" customHeight="1">
      <c r="B486" s="16"/>
    </row>
    <row r="487" ht="14.25" customHeight="1">
      <c r="B487" s="16"/>
    </row>
    <row r="488" ht="14.25" customHeight="1">
      <c r="B488" s="16"/>
    </row>
    <row r="489" ht="14.25" customHeight="1">
      <c r="B489" s="16"/>
    </row>
    <row r="490" ht="14.25" customHeight="1">
      <c r="B490" s="16"/>
    </row>
    <row r="491" ht="14.25" customHeight="1">
      <c r="B491" s="16"/>
    </row>
    <row r="492" ht="14.25" customHeight="1">
      <c r="B492" s="16"/>
    </row>
    <row r="493" ht="14.25" customHeight="1">
      <c r="B493" s="16"/>
    </row>
    <row r="494" ht="14.25" customHeight="1">
      <c r="B494" s="16"/>
    </row>
    <row r="495" ht="14.25" customHeight="1">
      <c r="B495" s="16"/>
    </row>
    <row r="496" ht="14.25" customHeight="1">
      <c r="B496" s="16"/>
    </row>
    <row r="497" ht="14.25" customHeight="1">
      <c r="B497" s="16"/>
    </row>
    <row r="498" ht="14.25" customHeight="1">
      <c r="B498" s="16"/>
    </row>
    <row r="499" ht="14.25" customHeight="1">
      <c r="B499" s="16"/>
    </row>
    <row r="500" ht="14.25" customHeight="1">
      <c r="B500" s="16"/>
    </row>
    <row r="501" ht="14.25" customHeight="1">
      <c r="B501" s="16"/>
    </row>
    <row r="502" ht="14.25" customHeight="1">
      <c r="B502" s="16"/>
    </row>
    <row r="503" ht="14.25" customHeight="1">
      <c r="B503" s="16"/>
    </row>
    <row r="504" ht="14.25" customHeight="1">
      <c r="B504" s="16"/>
    </row>
    <row r="505" ht="14.25" customHeight="1">
      <c r="B505" s="16"/>
    </row>
    <row r="506" ht="14.25" customHeight="1">
      <c r="B506" s="16"/>
    </row>
    <row r="507" ht="14.25" customHeight="1">
      <c r="B507" s="16"/>
    </row>
    <row r="508" ht="14.25" customHeight="1">
      <c r="B508" s="16"/>
    </row>
    <row r="509" ht="14.25" customHeight="1">
      <c r="B509" s="16"/>
    </row>
    <row r="510" ht="14.25" customHeight="1">
      <c r="B510" s="16"/>
    </row>
    <row r="511" ht="14.25" customHeight="1">
      <c r="B511" s="16"/>
    </row>
    <row r="512" ht="14.25" customHeight="1">
      <c r="B512" s="16"/>
    </row>
    <row r="513" ht="14.25" customHeight="1">
      <c r="B513" s="16"/>
    </row>
    <row r="514" ht="14.25" customHeight="1">
      <c r="B514" s="16"/>
    </row>
    <row r="515" ht="14.25" customHeight="1">
      <c r="B515" s="16"/>
    </row>
    <row r="516" ht="14.25" customHeight="1">
      <c r="B516" s="16"/>
    </row>
    <row r="517" ht="14.25" customHeight="1">
      <c r="B517" s="16"/>
    </row>
    <row r="518" ht="14.25" customHeight="1">
      <c r="B518" s="16"/>
    </row>
    <row r="519" ht="14.25" customHeight="1">
      <c r="B519" s="16"/>
    </row>
    <row r="520" ht="14.25" customHeight="1">
      <c r="B520" s="16"/>
    </row>
    <row r="521" ht="14.25" customHeight="1">
      <c r="B521" s="16"/>
    </row>
    <row r="522" ht="14.25" customHeight="1">
      <c r="B522" s="16"/>
    </row>
    <row r="523" ht="14.25" customHeight="1">
      <c r="B523" s="16"/>
    </row>
    <row r="524" ht="14.25" customHeight="1">
      <c r="B524" s="16"/>
    </row>
    <row r="525" ht="14.25" customHeight="1">
      <c r="B525" s="16"/>
    </row>
    <row r="526" ht="14.25" customHeight="1">
      <c r="B526" s="16"/>
    </row>
    <row r="527" ht="14.25" customHeight="1">
      <c r="B527" s="16"/>
    </row>
    <row r="528" ht="14.25" customHeight="1">
      <c r="B528" s="16"/>
    </row>
    <row r="529" ht="14.25" customHeight="1">
      <c r="B529" s="16"/>
    </row>
    <row r="530" ht="14.25" customHeight="1">
      <c r="B530" s="16"/>
    </row>
    <row r="531" ht="14.25" customHeight="1">
      <c r="B531" s="16"/>
    </row>
    <row r="532" ht="14.25" customHeight="1">
      <c r="B532" s="16"/>
    </row>
    <row r="533" ht="14.25" customHeight="1">
      <c r="B533" s="16"/>
    </row>
    <row r="534" ht="14.25" customHeight="1">
      <c r="B534" s="16"/>
    </row>
    <row r="535" ht="14.25" customHeight="1">
      <c r="B535" s="16"/>
    </row>
    <row r="536" ht="14.25" customHeight="1">
      <c r="B536" s="16"/>
    </row>
    <row r="537" ht="14.25" customHeight="1">
      <c r="B537" s="16"/>
    </row>
    <row r="538" ht="14.25" customHeight="1">
      <c r="B538" s="16"/>
    </row>
    <row r="539" ht="14.25" customHeight="1">
      <c r="B539" s="16"/>
    </row>
    <row r="540" ht="14.25" customHeight="1">
      <c r="B540" s="16"/>
    </row>
    <row r="541" ht="14.25" customHeight="1">
      <c r="B541" s="16"/>
    </row>
    <row r="542" ht="14.25" customHeight="1">
      <c r="B542" s="16"/>
    </row>
    <row r="543" ht="14.25" customHeight="1">
      <c r="B543" s="16"/>
    </row>
    <row r="544" ht="14.25" customHeight="1">
      <c r="B544" s="16"/>
    </row>
    <row r="545" ht="14.25" customHeight="1">
      <c r="B545" s="16"/>
    </row>
    <row r="546" ht="14.25" customHeight="1">
      <c r="B546" s="16"/>
    </row>
    <row r="547" ht="14.25" customHeight="1">
      <c r="B547" s="16"/>
    </row>
    <row r="548" ht="14.25" customHeight="1">
      <c r="B548" s="16"/>
    </row>
    <row r="549" ht="14.25" customHeight="1">
      <c r="B549" s="16"/>
    </row>
    <row r="550" ht="14.25" customHeight="1">
      <c r="B550" s="16"/>
    </row>
    <row r="551" ht="14.25" customHeight="1">
      <c r="B551" s="16"/>
    </row>
    <row r="552" ht="14.25" customHeight="1">
      <c r="B552" s="16"/>
    </row>
    <row r="553" ht="14.25" customHeight="1">
      <c r="B553" s="16"/>
    </row>
    <row r="554" ht="14.25" customHeight="1">
      <c r="B554" s="16"/>
    </row>
    <row r="555" ht="14.25" customHeight="1">
      <c r="B555" s="16"/>
    </row>
    <row r="556" ht="14.25" customHeight="1">
      <c r="B556" s="16"/>
    </row>
    <row r="557" ht="14.25" customHeight="1">
      <c r="B557" s="16"/>
    </row>
    <row r="558" ht="14.25" customHeight="1">
      <c r="B558" s="16"/>
    </row>
    <row r="559" ht="14.25" customHeight="1">
      <c r="B559" s="16"/>
    </row>
    <row r="560" ht="14.25" customHeight="1">
      <c r="B560" s="16"/>
    </row>
    <row r="561" ht="14.25" customHeight="1">
      <c r="B561" s="16"/>
    </row>
    <row r="562" ht="14.25" customHeight="1">
      <c r="B562" s="16"/>
    </row>
    <row r="563" ht="14.25" customHeight="1">
      <c r="B563" s="16"/>
    </row>
    <row r="564" ht="14.25" customHeight="1">
      <c r="B564" s="16"/>
    </row>
    <row r="565" ht="14.25" customHeight="1">
      <c r="B565" s="16"/>
    </row>
    <row r="566" ht="14.25" customHeight="1">
      <c r="B566" s="16"/>
    </row>
    <row r="567" ht="14.25" customHeight="1">
      <c r="B567" s="16"/>
    </row>
    <row r="568" ht="14.25" customHeight="1">
      <c r="B568" s="16"/>
    </row>
    <row r="569" ht="14.25" customHeight="1">
      <c r="B569" s="16"/>
    </row>
    <row r="570" ht="14.25" customHeight="1">
      <c r="B570" s="16"/>
    </row>
    <row r="571" ht="14.25" customHeight="1">
      <c r="B571" s="16"/>
    </row>
    <row r="572" ht="14.25" customHeight="1">
      <c r="B572" s="16"/>
    </row>
    <row r="573" ht="14.25" customHeight="1">
      <c r="B573" s="16"/>
    </row>
    <row r="574" ht="14.25" customHeight="1">
      <c r="B574" s="16"/>
    </row>
    <row r="575" ht="14.25" customHeight="1">
      <c r="B575" s="16"/>
    </row>
    <row r="576" ht="14.25" customHeight="1">
      <c r="B576" s="16"/>
    </row>
    <row r="577" ht="14.25" customHeight="1">
      <c r="B577" s="16"/>
    </row>
    <row r="578" ht="14.25" customHeight="1">
      <c r="B578" s="16"/>
    </row>
    <row r="579" ht="14.25" customHeight="1">
      <c r="B579" s="16"/>
    </row>
    <row r="580" ht="14.25" customHeight="1">
      <c r="B580" s="16"/>
    </row>
    <row r="581" ht="14.25" customHeight="1">
      <c r="B581" s="16"/>
    </row>
    <row r="582" ht="14.25" customHeight="1">
      <c r="B582" s="16"/>
    </row>
    <row r="583" ht="14.25" customHeight="1">
      <c r="B583" s="16"/>
    </row>
    <row r="584" ht="14.25" customHeight="1">
      <c r="B584" s="16"/>
    </row>
    <row r="585" ht="14.25" customHeight="1">
      <c r="B585" s="16"/>
    </row>
    <row r="586" ht="14.25" customHeight="1">
      <c r="B586" s="16"/>
    </row>
    <row r="587" ht="14.25" customHeight="1">
      <c r="B587" s="16"/>
    </row>
    <row r="588" ht="14.25" customHeight="1">
      <c r="B588" s="16"/>
    </row>
    <row r="589" ht="14.25" customHeight="1">
      <c r="B589" s="16"/>
    </row>
    <row r="590" ht="14.25" customHeight="1">
      <c r="B590" s="16"/>
    </row>
    <row r="591" ht="14.25" customHeight="1">
      <c r="B591" s="16"/>
    </row>
    <row r="592" ht="14.25" customHeight="1">
      <c r="B592" s="16"/>
    </row>
    <row r="593" ht="14.25" customHeight="1">
      <c r="B593" s="16"/>
    </row>
    <row r="594" ht="14.25" customHeight="1">
      <c r="B594" s="16"/>
    </row>
    <row r="595" ht="14.25" customHeight="1">
      <c r="B595" s="16"/>
    </row>
    <row r="596" ht="14.25" customHeight="1">
      <c r="B596" s="16"/>
    </row>
    <row r="597" ht="14.25" customHeight="1">
      <c r="B597" s="16"/>
    </row>
    <row r="598" ht="14.25" customHeight="1">
      <c r="B598" s="16"/>
    </row>
    <row r="599" ht="14.25" customHeight="1">
      <c r="B599" s="16"/>
    </row>
    <row r="600" ht="14.25" customHeight="1">
      <c r="B600" s="16"/>
    </row>
    <row r="601" ht="14.25" customHeight="1">
      <c r="B601" s="16"/>
    </row>
    <row r="602" ht="14.25" customHeight="1">
      <c r="B602" s="16"/>
    </row>
    <row r="603" ht="14.25" customHeight="1">
      <c r="B603" s="16"/>
    </row>
    <row r="604" ht="14.25" customHeight="1">
      <c r="B604" s="16"/>
    </row>
    <row r="605" ht="14.25" customHeight="1">
      <c r="B605" s="16"/>
    </row>
    <row r="606" ht="14.25" customHeight="1">
      <c r="B606" s="16"/>
    </row>
    <row r="607" ht="14.25" customHeight="1">
      <c r="B607" s="16"/>
    </row>
    <row r="608" ht="14.25" customHeight="1">
      <c r="B608" s="16"/>
    </row>
    <row r="609" ht="14.25" customHeight="1">
      <c r="B609" s="16"/>
    </row>
    <row r="610" ht="14.25" customHeight="1">
      <c r="B610" s="16"/>
    </row>
    <row r="611" ht="14.25" customHeight="1">
      <c r="B611" s="16"/>
    </row>
    <row r="612" ht="14.25" customHeight="1">
      <c r="B612" s="16"/>
    </row>
    <row r="613" ht="14.25" customHeight="1">
      <c r="B613" s="16"/>
    </row>
    <row r="614" ht="14.25" customHeight="1">
      <c r="B614" s="16"/>
    </row>
    <row r="615" ht="14.25" customHeight="1">
      <c r="B615" s="16"/>
    </row>
    <row r="616" ht="14.25" customHeight="1">
      <c r="B616" s="16"/>
    </row>
    <row r="617" ht="14.25" customHeight="1">
      <c r="B617" s="16"/>
    </row>
    <row r="618" ht="14.25" customHeight="1">
      <c r="B618" s="16"/>
    </row>
    <row r="619" ht="14.25" customHeight="1">
      <c r="B619" s="16"/>
    </row>
    <row r="620" ht="14.25" customHeight="1">
      <c r="B620" s="16"/>
    </row>
    <row r="621" ht="14.25" customHeight="1">
      <c r="B621" s="16"/>
    </row>
    <row r="622" ht="14.25" customHeight="1">
      <c r="B622" s="16"/>
    </row>
    <row r="623" ht="14.25" customHeight="1">
      <c r="B623" s="16"/>
    </row>
    <row r="624" ht="14.25" customHeight="1">
      <c r="B624" s="16"/>
    </row>
    <row r="625" ht="14.25" customHeight="1">
      <c r="B625" s="16"/>
    </row>
    <row r="626" ht="14.25" customHeight="1">
      <c r="B626" s="16"/>
    </row>
    <row r="627" ht="14.25" customHeight="1">
      <c r="B627" s="16"/>
    </row>
    <row r="628" ht="14.25" customHeight="1">
      <c r="B628" s="16"/>
    </row>
    <row r="629" ht="14.25" customHeight="1">
      <c r="B629" s="16"/>
    </row>
    <row r="630" ht="14.25" customHeight="1">
      <c r="B630" s="16"/>
    </row>
    <row r="631" ht="14.25" customHeight="1">
      <c r="B631" s="16"/>
    </row>
    <row r="632" ht="14.25" customHeight="1">
      <c r="B632" s="16"/>
    </row>
    <row r="633" ht="14.25" customHeight="1">
      <c r="B633" s="16"/>
    </row>
    <row r="634" ht="14.25" customHeight="1">
      <c r="B634" s="16"/>
    </row>
    <row r="635" ht="14.25" customHeight="1">
      <c r="B635" s="16"/>
    </row>
    <row r="636" ht="14.25" customHeight="1">
      <c r="B636" s="16"/>
    </row>
    <row r="637" ht="14.25" customHeight="1">
      <c r="B637" s="16"/>
    </row>
    <row r="638" ht="14.25" customHeight="1">
      <c r="B638" s="16"/>
    </row>
    <row r="639" ht="14.25" customHeight="1">
      <c r="B639" s="16"/>
    </row>
    <row r="640" ht="14.25" customHeight="1">
      <c r="B640" s="16"/>
    </row>
    <row r="641" ht="14.25" customHeight="1">
      <c r="B641" s="16"/>
    </row>
    <row r="642" ht="14.25" customHeight="1">
      <c r="B642" s="16"/>
    </row>
    <row r="643" ht="14.25" customHeight="1">
      <c r="B643" s="16"/>
    </row>
    <row r="644" ht="14.25" customHeight="1">
      <c r="B644" s="16"/>
    </row>
    <row r="645" ht="14.25" customHeight="1">
      <c r="B645" s="16"/>
    </row>
    <row r="646" ht="14.25" customHeight="1">
      <c r="B646" s="16"/>
    </row>
    <row r="647" ht="14.25" customHeight="1">
      <c r="B647" s="16"/>
    </row>
    <row r="648" ht="14.25" customHeight="1">
      <c r="B648" s="16"/>
    </row>
    <row r="649" ht="14.25" customHeight="1">
      <c r="B649" s="16"/>
    </row>
    <row r="650" ht="14.25" customHeight="1">
      <c r="B650" s="16"/>
    </row>
    <row r="651" ht="14.25" customHeight="1">
      <c r="B651" s="16"/>
    </row>
    <row r="652" ht="14.25" customHeight="1">
      <c r="B652" s="16"/>
    </row>
    <row r="653" ht="14.25" customHeight="1">
      <c r="B653" s="16"/>
    </row>
    <row r="654" ht="14.25" customHeight="1">
      <c r="B654" s="16"/>
    </row>
    <row r="655" ht="14.25" customHeight="1">
      <c r="B655" s="16"/>
    </row>
    <row r="656" ht="14.25" customHeight="1">
      <c r="B656" s="16"/>
    </row>
    <row r="657" ht="14.25" customHeight="1">
      <c r="B657" s="16"/>
    </row>
    <row r="658" ht="14.25" customHeight="1">
      <c r="B658" s="16"/>
    </row>
    <row r="659" ht="14.25" customHeight="1">
      <c r="B659" s="16"/>
    </row>
    <row r="660" ht="14.25" customHeight="1">
      <c r="B660" s="16"/>
    </row>
    <row r="661" ht="14.25" customHeight="1">
      <c r="B661" s="16"/>
    </row>
    <row r="662" ht="14.25" customHeight="1">
      <c r="B662" s="16"/>
    </row>
    <row r="663" ht="14.25" customHeight="1">
      <c r="B663" s="16"/>
    </row>
    <row r="664" ht="14.25" customHeight="1">
      <c r="B664" s="16"/>
    </row>
    <row r="665" ht="14.25" customHeight="1">
      <c r="B665" s="16"/>
    </row>
    <row r="666" ht="14.25" customHeight="1">
      <c r="B666" s="16"/>
    </row>
    <row r="667" ht="14.25" customHeight="1">
      <c r="B667" s="16"/>
    </row>
    <row r="668" ht="14.25" customHeight="1">
      <c r="B668" s="16"/>
    </row>
    <row r="669" ht="14.25" customHeight="1">
      <c r="B669" s="16"/>
    </row>
    <row r="670" ht="14.25" customHeight="1">
      <c r="B670" s="16"/>
    </row>
    <row r="671" ht="14.25" customHeight="1">
      <c r="B671" s="16"/>
    </row>
    <row r="672" ht="14.25" customHeight="1">
      <c r="B672" s="16"/>
    </row>
    <row r="673" ht="14.25" customHeight="1">
      <c r="B673" s="16"/>
    </row>
    <row r="674" ht="14.25" customHeight="1">
      <c r="B674" s="16"/>
    </row>
    <row r="675" ht="14.25" customHeight="1">
      <c r="B675" s="16"/>
    </row>
    <row r="676" ht="14.25" customHeight="1">
      <c r="B676" s="16"/>
    </row>
    <row r="677" ht="14.25" customHeight="1">
      <c r="B677" s="16"/>
    </row>
    <row r="678" ht="14.25" customHeight="1">
      <c r="B678" s="16"/>
    </row>
    <row r="679" ht="14.25" customHeight="1">
      <c r="B679" s="16"/>
    </row>
    <row r="680" ht="14.25" customHeight="1">
      <c r="B680" s="16"/>
    </row>
    <row r="681" ht="14.25" customHeight="1">
      <c r="B681" s="16"/>
    </row>
    <row r="682" ht="14.25" customHeight="1">
      <c r="B682" s="16"/>
    </row>
    <row r="683" ht="14.25" customHeight="1">
      <c r="B683" s="16"/>
    </row>
    <row r="684" ht="14.25" customHeight="1">
      <c r="B684" s="16"/>
    </row>
    <row r="685" ht="14.25" customHeight="1">
      <c r="B685" s="16"/>
    </row>
    <row r="686" ht="14.25" customHeight="1">
      <c r="B686" s="16"/>
    </row>
    <row r="687" ht="14.25" customHeight="1">
      <c r="B687" s="16"/>
    </row>
    <row r="688" ht="14.25" customHeight="1">
      <c r="B688" s="16"/>
    </row>
    <row r="689" ht="14.25" customHeight="1">
      <c r="B689" s="16"/>
    </row>
    <row r="690" ht="14.25" customHeight="1">
      <c r="B690" s="16"/>
    </row>
    <row r="691" ht="14.25" customHeight="1">
      <c r="B691" s="16"/>
    </row>
    <row r="692" ht="14.25" customHeight="1">
      <c r="B692" s="16"/>
    </row>
    <row r="693" ht="14.25" customHeight="1">
      <c r="B693" s="16"/>
    </row>
    <row r="694" ht="14.25" customHeight="1">
      <c r="B694" s="16"/>
    </row>
    <row r="695" ht="14.25" customHeight="1">
      <c r="B695" s="16"/>
    </row>
    <row r="696" ht="14.25" customHeight="1">
      <c r="B696" s="16"/>
    </row>
    <row r="697" ht="14.25" customHeight="1">
      <c r="B697" s="16"/>
    </row>
    <row r="698" ht="14.25" customHeight="1">
      <c r="B698" s="16"/>
    </row>
    <row r="699" ht="14.25" customHeight="1">
      <c r="B699" s="16"/>
    </row>
    <row r="700" ht="14.25" customHeight="1">
      <c r="B700" s="16"/>
    </row>
    <row r="701" ht="14.25" customHeight="1">
      <c r="B701" s="16"/>
    </row>
    <row r="702" ht="14.25" customHeight="1">
      <c r="B702" s="16"/>
    </row>
    <row r="703" ht="14.25" customHeight="1">
      <c r="B703" s="16"/>
    </row>
    <row r="704" ht="14.25" customHeight="1">
      <c r="B704" s="16"/>
    </row>
    <row r="705" ht="14.25" customHeight="1">
      <c r="B705" s="16"/>
    </row>
    <row r="706" ht="14.25" customHeight="1">
      <c r="B706" s="16"/>
    </row>
    <row r="707" ht="14.25" customHeight="1">
      <c r="B707" s="16"/>
    </row>
    <row r="708" ht="14.25" customHeight="1">
      <c r="B708" s="16"/>
    </row>
    <row r="709" ht="14.25" customHeight="1">
      <c r="B709" s="16"/>
    </row>
    <row r="710" ht="14.25" customHeight="1">
      <c r="B710" s="16"/>
    </row>
    <row r="711" ht="14.25" customHeight="1">
      <c r="B711" s="16"/>
    </row>
    <row r="712" ht="14.25" customHeight="1">
      <c r="B712" s="16"/>
    </row>
    <row r="713" ht="14.25" customHeight="1">
      <c r="B713" s="16"/>
    </row>
    <row r="714" ht="14.25" customHeight="1">
      <c r="B714" s="16"/>
    </row>
    <row r="715" ht="14.25" customHeight="1">
      <c r="B715" s="16"/>
    </row>
    <row r="716" ht="14.25" customHeight="1">
      <c r="B716" s="16"/>
    </row>
    <row r="717" ht="14.25" customHeight="1">
      <c r="B717" s="16"/>
    </row>
    <row r="718" ht="14.25" customHeight="1">
      <c r="B718" s="16"/>
    </row>
    <row r="719" ht="14.25" customHeight="1">
      <c r="B719" s="16"/>
    </row>
    <row r="720" ht="14.25" customHeight="1">
      <c r="B720" s="16"/>
    </row>
    <row r="721" ht="14.25" customHeight="1">
      <c r="B721" s="16"/>
    </row>
    <row r="722" ht="14.25" customHeight="1">
      <c r="B722" s="16"/>
    </row>
    <row r="723" ht="14.25" customHeight="1">
      <c r="B723" s="16"/>
    </row>
    <row r="724" ht="14.25" customHeight="1">
      <c r="B724" s="16"/>
    </row>
    <row r="725" ht="14.25" customHeight="1">
      <c r="B725" s="16"/>
    </row>
    <row r="726" ht="14.25" customHeight="1">
      <c r="B726" s="16"/>
    </row>
    <row r="727" ht="14.25" customHeight="1">
      <c r="B727" s="16"/>
    </row>
    <row r="728" ht="14.25" customHeight="1">
      <c r="B728" s="16"/>
    </row>
    <row r="729" ht="14.25" customHeight="1">
      <c r="B729" s="16"/>
    </row>
    <row r="730" ht="14.25" customHeight="1">
      <c r="B730" s="16"/>
    </row>
    <row r="731" ht="14.25" customHeight="1">
      <c r="B731" s="16"/>
    </row>
    <row r="732" ht="14.25" customHeight="1">
      <c r="B732" s="16"/>
    </row>
    <row r="733" ht="14.25" customHeight="1">
      <c r="B733" s="16"/>
    </row>
    <row r="734" ht="14.25" customHeight="1">
      <c r="B734" s="16"/>
    </row>
    <row r="735" ht="14.25" customHeight="1">
      <c r="B735" s="16"/>
    </row>
    <row r="736" ht="14.25" customHeight="1">
      <c r="B736" s="16"/>
    </row>
    <row r="737" ht="14.25" customHeight="1">
      <c r="B737" s="16"/>
    </row>
    <row r="738" ht="14.25" customHeight="1">
      <c r="B738" s="16"/>
    </row>
    <row r="739" ht="14.25" customHeight="1">
      <c r="B739" s="16"/>
    </row>
    <row r="740" ht="14.25" customHeight="1">
      <c r="B740" s="16"/>
    </row>
    <row r="741" ht="14.25" customHeight="1">
      <c r="B741" s="16"/>
    </row>
    <row r="742" ht="14.25" customHeight="1">
      <c r="B742" s="16"/>
    </row>
    <row r="743" ht="14.25" customHeight="1">
      <c r="B743" s="16"/>
    </row>
    <row r="744" ht="14.25" customHeight="1">
      <c r="B744" s="16"/>
    </row>
    <row r="745" ht="14.25" customHeight="1">
      <c r="B745" s="16"/>
    </row>
    <row r="746" ht="14.25" customHeight="1">
      <c r="B746" s="16"/>
    </row>
    <row r="747" ht="14.25" customHeight="1">
      <c r="B747" s="16"/>
    </row>
    <row r="748" ht="14.25" customHeight="1">
      <c r="B748" s="16"/>
    </row>
    <row r="749" ht="14.25" customHeight="1">
      <c r="B749" s="16"/>
    </row>
    <row r="750" ht="14.25" customHeight="1">
      <c r="B750" s="16"/>
    </row>
    <row r="751" ht="14.25" customHeight="1">
      <c r="B751" s="16"/>
    </row>
    <row r="752" ht="14.25" customHeight="1">
      <c r="B752" s="16"/>
    </row>
    <row r="753" ht="14.25" customHeight="1">
      <c r="B753" s="16"/>
    </row>
    <row r="754" ht="14.25" customHeight="1">
      <c r="B754" s="16"/>
    </row>
    <row r="755" ht="14.25" customHeight="1">
      <c r="B755" s="16"/>
    </row>
    <row r="756" ht="14.25" customHeight="1">
      <c r="B756" s="16"/>
    </row>
    <row r="757" ht="14.25" customHeight="1">
      <c r="B757" s="16"/>
    </row>
    <row r="758" ht="14.25" customHeight="1">
      <c r="B758" s="16"/>
    </row>
    <row r="759" ht="14.25" customHeight="1">
      <c r="B759" s="16"/>
    </row>
    <row r="760" ht="14.25" customHeight="1">
      <c r="B760" s="16"/>
    </row>
    <row r="761" ht="14.25" customHeight="1">
      <c r="B761" s="16"/>
    </row>
    <row r="762" ht="14.25" customHeight="1">
      <c r="B762" s="16"/>
    </row>
    <row r="763" ht="14.25" customHeight="1">
      <c r="B763" s="16"/>
    </row>
    <row r="764" ht="14.25" customHeight="1">
      <c r="B764" s="16"/>
    </row>
    <row r="765" ht="14.25" customHeight="1">
      <c r="B765" s="16"/>
    </row>
    <row r="766" ht="14.25" customHeight="1">
      <c r="B766" s="16"/>
    </row>
    <row r="767" ht="14.25" customHeight="1">
      <c r="B767" s="16"/>
    </row>
    <row r="768" ht="14.25" customHeight="1">
      <c r="B768" s="16"/>
    </row>
    <row r="769" ht="14.25" customHeight="1">
      <c r="B769" s="16"/>
    </row>
    <row r="770" ht="14.25" customHeight="1">
      <c r="B770" s="16"/>
    </row>
    <row r="771" ht="14.25" customHeight="1">
      <c r="B771" s="16"/>
    </row>
    <row r="772" ht="14.25" customHeight="1">
      <c r="B772" s="16"/>
    </row>
    <row r="773" ht="14.25" customHeight="1">
      <c r="B773" s="16"/>
    </row>
    <row r="774" ht="14.25" customHeight="1">
      <c r="B774" s="16"/>
    </row>
    <row r="775" ht="14.25" customHeight="1">
      <c r="B775" s="16"/>
    </row>
    <row r="776" ht="14.25" customHeight="1">
      <c r="B776" s="16"/>
    </row>
    <row r="777" ht="14.25" customHeight="1">
      <c r="B777" s="16"/>
    </row>
    <row r="778" ht="14.25" customHeight="1">
      <c r="B778" s="16"/>
    </row>
    <row r="779" ht="14.25" customHeight="1">
      <c r="B779" s="16"/>
    </row>
    <row r="780" ht="14.25" customHeight="1">
      <c r="B780" s="16"/>
    </row>
    <row r="781" ht="14.25" customHeight="1">
      <c r="B781" s="16"/>
    </row>
    <row r="782" ht="14.25" customHeight="1">
      <c r="B782" s="16"/>
    </row>
    <row r="783" ht="14.25" customHeight="1">
      <c r="B783" s="16"/>
    </row>
    <row r="784" ht="14.25" customHeight="1">
      <c r="B784" s="16"/>
    </row>
    <row r="785" ht="14.25" customHeight="1">
      <c r="B785" s="16"/>
    </row>
    <row r="786" ht="14.25" customHeight="1">
      <c r="B786" s="16"/>
    </row>
    <row r="787" ht="14.25" customHeight="1">
      <c r="B787" s="16"/>
    </row>
    <row r="788" ht="14.25" customHeight="1">
      <c r="B788" s="16"/>
    </row>
    <row r="789" ht="14.25" customHeight="1">
      <c r="B789" s="16"/>
    </row>
    <row r="790" ht="14.25" customHeight="1">
      <c r="B790" s="16"/>
    </row>
    <row r="791" ht="14.25" customHeight="1">
      <c r="B791" s="16"/>
    </row>
    <row r="792" ht="14.25" customHeight="1">
      <c r="B792" s="16"/>
    </row>
    <row r="793" ht="14.25" customHeight="1">
      <c r="B793" s="16"/>
    </row>
    <row r="794" ht="14.25" customHeight="1">
      <c r="B794" s="16"/>
    </row>
    <row r="795" ht="14.25" customHeight="1">
      <c r="B795" s="16"/>
    </row>
    <row r="796" ht="14.25" customHeight="1">
      <c r="B796" s="16"/>
    </row>
    <row r="797" ht="14.25" customHeight="1">
      <c r="B797" s="16"/>
    </row>
    <row r="798" ht="14.25" customHeight="1">
      <c r="B798" s="16"/>
    </row>
    <row r="799" ht="14.25" customHeight="1">
      <c r="B799" s="16"/>
    </row>
    <row r="800" ht="14.25" customHeight="1">
      <c r="B800" s="16"/>
    </row>
    <row r="801" ht="14.25" customHeight="1">
      <c r="B801" s="16"/>
    </row>
    <row r="802" ht="14.25" customHeight="1">
      <c r="B802" s="16"/>
    </row>
    <row r="803" ht="14.25" customHeight="1">
      <c r="B803" s="16"/>
    </row>
    <row r="804" ht="14.25" customHeight="1">
      <c r="B804" s="16"/>
    </row>
    <row r="805" ht="14.25" customHeight="1">
      <c r="B805" s="16"/>
    </row>
    <row r="806" ht="14.25" customHeight="1">
      <c r="B806" s="16"/>
    </row>
    <row r="807" ht="14.25" customHeight="1">
      <c r="B807" s="16"/>
    </row>
    <row r="808" ht="14.25" customHeight="1">
      <c r="B808" s="16"/>
    </row>
    <row r="809" ht="14.25" customHeight="1">
      <c r="B809" s="16"/>
    </row>
    <row r="810" ht="14.25" customHeight="1">
      <c r="B810" s="16"/>
    </row>
    <row r="811" ht="14.25" customHeight="1">
      <c r="B811" s="16"/>
    </row>
    <row r="812" ht="14.25" customHeight="1">
      <c r="B812" s="16"/>
    </row>
    <row r="813" ht="14.25" customHeight="1">
      <c r="B813" s="16"/>
    </row>
    <row r="814" ht="14.25" customHeight="1">
      <c r="B814" s="16"/>
    </row>
    <row r="815" ht="14.25" customHeight="1">
      <c r="B815" s="16"/>
    </row>
    <row r="816" ht="14.25" customHeight="1">
      <c r="B816" s="16"/>
    </row>
    <row r="817" ht="14.25" customHeight="1">
      <c r="B817" s="16"/>
    </row>
    <row r="818" ht="14.25" customHeight="1">
      <c r="B818" s="16"/>
    </row>
    <row r="819" ht="14.25" customHeight="1">
      <c r="B819" s="16"/>
    </row>
    <row r="820" ht="14.25" customHeight="1">
      <c r="B820" s="16"/>
    </row>
    <row r="821" ht="14.25" customHeight="1">
      <c r="B821" s="16"/>
    </row>
    <row r="822" ht="14.25" customHeight="1">
      <c r="B822" s="16"/>
    </row>
    <row r="823" ht="14.25" customHeight="1">
      <c r="B823" s="16"/>
    </row>
    <row r="824" ht="14.25" customHeight="1">
      <c r="B824" s="16"/>
    </row>
    <row r="825" ht="14.25" customHeight="1">
      <c r="B825" s="16"/>
    </row>
    <row r="826" ht="14.25" customHeight="1">
      <c r="B826" s="16"/>
    </row>
    <row r="827" ht="14.25" customHeight="1">
      <c r="B827" s="16"/>
    </row>
    <row r="828" ht="14.25" customHeight="1">
      <c r="B828" s="16"/>
    </row>
    <row r="829" ht="14.25" customHeight="1">
      <c r="B829" s="16"/>
    </row>
    <row r="830" ht="14.25" customHeight="1">
      <c r="B830" s="16"/>
    </row>
    <row r="831" ht="14.25" customHeight="1">
      <c r="B831" s="16"/>
    </row>
    <row r="832" ht="14.25" customHeight="1">
      <c r="B832" s="16"/>
    </row>
    <row r="833" ht="14.25" customHeight="1">
      <c r="B833" s="16"/>
    </row>
    <row r="834" ht="14.25" customHeight="1">
      <c r="B834" s="16"/>
    </row>
    <row r="835" ht="14.25" customHeight="1">
      <c r="B835" s="16"/>
    </row>
    <row r="836" ht="14.25" customHeight="1">
      <c r="B836" s="16"/>
    </row>
    <row r="837" ht="14.25" customHeight="1">
      <c r="B837" s="16"/>
    </row>
    <row r="838" ht="14.25" customHeight="1">
      <c r="B838" s="16"/>
    </row>
    <row r="839" ht="14.25" customHeight="1">
      <c r="B839" s="16"/>
    </row>
    <row r="840" ht="14.25" customHeight="1">
      <c r="B840" s="16"/>
    </row>
    <row r="841" ht="14.25" customHeight="1">
      <c r="B841" s="16"/>
    </row>
    <row r="842" ht="14.25" customHeight="1">
      <c r="B842" s="16"/>
    </row>
    <row r="843" ht="14.25" customHeight="1">
      <c r="B843" s="16"/>
    </row>
    <row r="844" ht="14.25" customHeight="1">
      <c r="B844" s="16"/>
    </row>
    <row r="845" ht="14.25" customHeight="1">
      <c r="B845" s="16"/>
    </row>
    <row r="846" ht="14.25" customHeight="1">
      <c r="B846" s="16"/>
    </row>
    <row r="847" ht="14.25" customHeight="1">
      <c r="B847" s="16"/>
    </row>
    <row r="848" ht="14.25" customHeight="1">
      <c r="B848" s="16"/>
    </row>
    <row r="849" ht="14.25" customHeight="1">
      <c r="B849" s="16"/>
    </row>
    <row r="850" ht="14.25" customHeight="1">
      <c r="B850" s="16"/>
    </row>
    <row r="851" ht="14.25" customHeight="1">
      <c r="B851" s="16"/>
    </row>
    <row r="852" ht="14.25" customHeight="1">
      <c r="B852" s="16"/>
    </row>
    <row r="853" ht="14.25" customHeight="1">
      <c r="B853" s="16"/>
    </row>
    <row r="854" ht="14.25" customHeight="1">
      <c r="B854" s="16"/>
    </row>
    <row r="855" ht="14.25" customHeight="1">
      <c r="B855" s="16"/>
    </row>
    <row r="856" ht="14.25" customHeight="1">
      <c r="B856" s="16"/>
    </row>
    <row r="857" ht="14.25" customHeight="1">
      <c r="B857" s="16"/>
    </row>
    <row r="858" ht="14.25" customHeight="1">
      <c r="B858" s="16"/>
    </row>
    <row r="859" ht="14.25" customHeight="1">
      <c r="B859" s="16"/>
    </row>
    <row r="860" ht="14.25" customHeight="1">
      <c r="B860" s="16"/>
    </row>
    <row r="861" ht="14.25" customHeight="1">
      <c r="B861" s="16"/>
    </row>
    <row r="862" ht="14.25" customHeight="1">
      <c r="B862" s="16"/>
    </row>
    <row r="863" ht="14.25" customHeight="1">
      <c r="B863" s="16"/>
    </row>
    <row r="864" ht="14.25" customHeight="1">
      <c r="B864" s="16"/>
    </row>
    <row r="865" ht="14.25" customHeight="1">
      <c r="B865" s="16"/>
    </row>
    <row r="866" ht="14.25" customHeight="1">
      <c r="B866" s="16"/>
    </row>
    <row r="867" ht="14.25" customHeight="1">
      <c r="B867" s="16"/>
    </row>
    <row r="868" ht="14.25" customHeight="1">
      <c r="B868" s="16"/>
    </row>
    <row r="869" ht="14.25" customHeight="1">
      <c r="B869" s="16"/>
    </row>
    <row r="870" ht="14.25" customHeight="1">
      <c r="B870" s="16"/>
    </row>
    <row r="871" ht="14.25" customHeight="1">
      <c r="B871" s="16"/>
    </row>
    <row r="872" ht="14.25" customHeight="1">
      <c r="B872" s="16"/>
    </row>
    <row r="873" ht="14.25" customHeight="1">
      <c r="B873" s="16"/>
    </row>
    <row r="874" ht="14.25" customHeight="1">
      <c r="B874" s="16"/>
    </row>
    <row r="875" ht="14.25" customHeight="1">
      <c r="B875" s="16"/>
    </row>
    <row r="876" ht="14.25" customHeight="1">
      <c r="B876" s="16"/>
    </row>
    <row r="877" ht="14.25" customHeight="1">
      <c r="B877" s="16"/>
    </row>
    <row r="878" ht="14.25" customHeight="1">
      <c r="B878" s="16"/>
    </row>
    <row r="879" ht="14.25" customHeight="1">
      <c r="B879" s="16"/>
    </row>
    <row r="880" ht="14.25" customHeight="1">
      <c r="B880" s="16"/>
    </row>
    <row r="881" ht="14.25" customHeight="1">
      <c r="B881" s="16"/>
    </row>
    <row r="882" ht="14.25" customHeight="1">
      <c r="B882" s="16"/>
    </row>
    <row r="883" ht="14.25" customHeight="1">
      <c r="B883" s="16"/>
    </row>
    <row r="884" ht="14.25" customHeight="1">
      <c r="B884" s="16"/>
    </row>
    <row r="885" ht="14.25" customHeight="1">
      <c r="B885" s="16"/>
    </row>
    <row r="886" ht="14.25" customHeight="1">
      <c r="B886" s="16"/>
    </row>
    <row r="887" ht="14.25" customHeight="1">
      <c r="B887" s="16"/>
    </row>
    <row r="888" ht="14.25" customHeight="1">
      <c r="B888" s="16"/>
    </row>
    <row r="889" ht="14.25" customHeight="1">
      <c r="B889" s="16"/>
    </row>
    <row r="890" ht="14.25" customHeight="1">
      <c r="B890" s="16"/>
    </row>
    <row r="891" ht="14.25" customHeight="1">
      <c r="B891" s="16"/>
    </row>
    <row r="892" ht="14.25" customHeight="1">
      <c r="B892" s="16"/>
    </row>
    <row r="893" ht="14.25" customHeight="1">
      <c r="B893" s="16"/>
    </row>
    <row r="894" ht="14.25" customHeight="1">
      <c r="B894" s="16"/>
    </row>
    <row r="895" ht="14.25" customHeight="1">
      <c r="B895" s="16"/>
    </row>
    <row r="896" ht="14.25" customHeight="1">
      <c r="B896" s="16"/>
    </row>
    <row r="897" ht="14.25" customHeight="1">
      <c r="B897" s="16"/>
    </row>
    <row r="898" ht="14.25" customHeight="1">
      <c r="B898" s="16"/>
    </row>
    <row r="899" ht="14.25" customHeight="1">
      <c r="B899" s="16"/>
    </row>
    <row r="900" ht="14.25" customHeight="1">
      <c r="B900" s="16"/>
    </row>
    <row r="901" ht="14.25" customHeight="1">
      <c r="B901" s="16"/>
    </row>
    <row r="902" ht="14.25" customHeight="1">
      <c r="B902" s="16"/>
    </row>
    <row r="903" ht="14.25" customHeight="1">
      <c r="B903" s="16"/>
    </row>
    <row r="904" ht="14.25" customHeight="1">
      <c r="B904" s="16"/>
    </row>
    <row r="905" ht="14.25" customHeight="1">
      <c r="B905" s="16"/>
    </row>
    <row r="906" ht="14.25" customHeight="1">
      <c r="B906" s="16"/>
    </row>
    <row r="907" ht="14.25" customHeight="1">
      <c r="B907" s="16"/>
    </row>
    <row r="908" ht="14.25" customHeight="1">
      <c r="B908" s="16"/>
    </row>
    <row r="909" ht="14.25" customHeight="1">
      <c r="B909" s="16"/>
    </row>
    <row r="910" ht="14.25" customHeight="1">
      <c r="B910" s="16"/>
    </row>
    <row r="911" ht="14.25" customHeight="1">
      <c r="B911" s="16"/>
    </row>
    <row r="912" ht="14.25" customHeight="1">
      <c r="B912" s="16"/>
    </row>
    <row r="913" ht="14.25" customHeight="1">
      <c r="B913" s="16"/>
    </row>
    <row r="914" ht="14.25" customHeight="1">
      <c r="B914" s="16"/>
    </row>
    <row r="915" ht="14.25" customHeight="1">
      <c r="B915" s="16"/>
    </row>
    <row r="916" ht="14.25" customHeight="1">
      <c r="B916" s="16"/>
    </row>
    <row r="917" ht="14.25" customHeight="1">
      <c r="B917" s="16"/>
    </row>
    <row r="918" ht="14.25" customHeight="1">
      <c r="B918" s="16"/>
    </row>
    <row r="919" ht="14.25" customHeight="1">
      <c r="B919" s="16"/>
    </row>
    <row r="920" ht="14.25" customHeight="1">
      <c r="B920" s="16"/>
    </row>
    <row r="921" ht="14.25" customHeight="1">
      <c r="B921" s="16"/>
    </row>
    <row r="922" ht="14.25" customHeight="1">
      <c r="B922" s="16"/>
    </row>
    <row r="923" ht="14.25" customHeight="1">
      <c r="B923" s="16"/>
    </row>
    <row r="924" ht="14.25" customHeight="1">
      <c r="B924" s="16"/>
    </row>
    <row r="925" ht="14.25" customHeight="1">
      <c r="B925" s="16"/>
    </row>
    <row r="926" ht="14.25" customHeight="1">
      <c r="B926" s="16"/>
    </row>
    <row r="927" ht="14.25" customHeight="1">
      <c r="B927" s="16"/>
    </row>
    <row r="928" ht="14.25" customHeight="1">
      <c r="B928" s="16"/>
    </row>
    <row r="929" ht="14.25" customHeight="1">
      <c r="B929" s="16"/>
    </row>
    <row r="930" ht="14.25" customHeight="1">
      <c r="B930" s="16"/>
    </row>
    <row r="931" ht="14.25" customHeight="1">
      <c r="B931" s="16"/>
    </row>
    <row r="932" ht="14.25" customHeight="1">
      <c r="B932" s="16"/>
    </row>
    <row r="933" ht="14.25" customHeight="1">
      <c r="B933" s="16"/>
    </row>
    <row r="934" ht="14.25" customHeight="1">
      <c r="B934" s="16"/>
    </row>
    <row r="935" ht="14.25" customHeight="1">
      <c r="B935" s="16"/>
    </row>
    <row r="936" ht="14.25" customHeight="1">
      <c r="B936" s="16"/>
    </row>
    <row r="937" ht="14.25" customHeight="1">
      <c r="B937" s="16"/>
    </row>
    <row r="938" ht="14.25" customHeight="1">
      <c r="B938" s="16"/>
    </row>
    <row r="939" ht="14.25" customHeight="1">
      <c r="B939" s="16"/>
    </row>
    <row r="940" ht="14.25" customHeight="1">
      <c r="B940" s="16"/>
    </row>
    <row r="941" ht="14.25" customHeight="1">
      <c r="B941" s="16"/>
    </row>
    <row r="942" ht="14.25" customHeight="1">
      <c r="B942" s="16"/>
    </row>
    <row r="943" ht="14.25" customHeight="1">
      <c r="B943" s="16"/>
    </row>
    <row r="944" ht="14.25" customHeight="1">
      <c r="B944" s="16"/>
    </row>
    <row r="945" ht="14.25" customHeight="1">
      <c r="B945" s="16"/>
    </row>
    <row r="946" ht="14.25" customHeight="1">
      <c r="B946" s="16"/>
    </row>
    <row r="947" ht="14.25" customHeight="1">
      <c r="B947" s="16"/>
    </row>
    <row r="948" ht="14.25" customHeight="1">
      <c r="B948" s="16"/>
    </row>
    <row r="949" ht="14.25" customHeight="1">
      <c r="B949" s="16"/>
    </row>
    <row r="950" ht="14.25" customHeight="1">
      <c r="B950" s="16"/>
    </row>
    <row r="951" ht="14.25" customHeight="1">
      <c r="B951" s="16"/>
    </row>
    <row r="952" ht="14.25" customHeight="1">
      <c r="B952" s="16"/>
    </row>
    <row r="953" ht="14.25" customHeight="1">
      <c r="B953" s="16"/>
    </row>
    <row r="954" ht="14.25" customHeight="1">
      <c r="B954" s="16"/>
    </row>
    <row r="955" ht="14.25" customHeight="1">
      <c r="B955" s="16"/>
    </row>
    <row r="956" ht="14.25" customHeight="1">
      <c r="B956" s="16"/>
    </row>
    <row r="957" ht="14.25" customHeight="1">
      <c r="B957" s="16"/>
    </row>
    <row r="958" ht="14.25" customHeight="1">
      <c r="B958" s="16"/>
    </row>
    <row r="959" ht="14.25" customHeight="1">
      <c r="B959" s="16"/>
    </row>
    <row r="960" ht="14.25" customHeight="1">
      <c r="B960" s="16"/>
    </row>
    <row r="961" ht="14.25" customHeight="1">
      <c r="B961" s="16"/>
    </row>
    <row r="962" ht="14.25" customHeight="1">
      <c r="B962" s="16"/>
    </row>
    <row r="963" ht="14.25" customHeight="1">
      <c r="B963" s="16"/>
    </row>
    <row r="964" ht="14.25" customHeight="1">
      <c r="B964" s="16"/>
    </row>
    <row r="965" ht="14.25" customHeight="1">
      <c r="B965" s="16"/>
    </row>
    <row r="966" ht="14.25" customHeight="1">
      <c r="B966" s="16"/>
    </row>
    <row r="967" ht="14.25" customHeight="1">
      <c r="B967" s="16"/>
    </row>
    <row r="968" ht="14.25" customHeight="1">
      <c r="B968" s="16"/>
    </row>
    <row r="969" ht="14.25" customHeight="1">
      <c r="B969" s="16"/>
    </row>
    <row r="970" ht="14.25" customHeight="1">
      <c r="B970" s="16"/>
    </row>
    <row r="971" ht="14.25" customHeight="1">
      <c r="B971" s="16"/>
    </row>
    <row r="972" ht="14.25" customHeight="1">
      <c r="B972" s="16"/>
    </row>
    <row r="973" ht="14.25" customHeight="1">
      <c r="B973" s="16"/>
    </row>
    <row r="974" ht="14.25" customHeight="1">
      <c r="B974" s="16"/>
    </row>
    <row r="975" ht="14.25" customHeight="1">
      <c r="B975" s="16"/>
    </row>
    <row r="976" ht="14.25" customHeight="1">
      <c r="B976" s="16"/>
    </row>
    <row r="977" ht="14.25" customHeight="1">
      <c r="B977" s="16"/>
    </row>
    <row r="978" ht="14.25" customHeight="1">
      <c r="B978" s="16"/>
    </row>
    <row r="979" ht="14.25" customHeight="1">
      <c r="B979" s="16"/>
    </row>
    <row r="980" ht="14.25" customHeight="1">
      <c r="B980" s="16"/>
    </row>
    <row r="981" ht="14.25" customHeight="1">
      <c r="B981" s="16"/>
    </row>
    <row r="982" ht="14.25" customHeight="1">
      <c r="B982" s="16"/>
    </row>
    <row r="983" ht="14.25" customHeight="1">
      <c r="B983" s="16"/>
    </row>
    <row r="984" ht="14.25" customHeight="1">
      <c r="B984" s="16"/>
    </row>
    <row r="985" ht="14.25" customHeight="1">
      <c r="B985" s="16"/>
    </row>
    <row r="986" ht="14.25" customHeight="1">
      <c r="B986" s="16"/>
    </row>
    <row r="987" ht="14.25" customHeight="1">
      <c r="B987" s="16"/>
    </row>
    <row r="988" ht="14.25" customHeight="1">
      <c r="B988" s="16"/>
    </row>
    <row r="989" ht="14.25" customHeight="1">
      <c r="B989" s="16"/>
    </row>
    <row r="990" ht="14.25" customHeight="1">
      <c r="B990" s="16"/>
    </row>
    <row r="991" ht="14.25" customHeight="1">
      <c r="B991" s="16"/>
    </row>
    <row r="992" ht="14.25" customHeight="1">
      <c r="B992" s="16"/>
    </row>
    <row r="993" ht="14.25" customHeight="1">
      <c r="B993" s="16"/>
    </row>
    <row r="994" ht="14.25" customHeight="1">
      <c r="B994" s="16"/>
    </row>
    <row r="995" ht="14.25" customHeight="1">
      <c r="B995" s="16"/>
    </row>
    <row r="996" ht="14.25" customHeight="1">
      <c r="B996" s="16"/>
    </row>
    <row r="997" ht="14.25" customHeight="1">
      <c r="B997" s="16"/>
    </row>
    <row r="998" ht="14.25" customHeight="1">
      <c r="B998" s="16"/>
    </row>
    <row r="999" ht="14.25" customHeight="1">
      <c r="B999" s="16"/>
    </row>
    <row r="1000" ht="14.25" customHeight="1">
      <c r="B1000" s="16"/>
    </row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68.63"/>
    <col customWidth="1" min="3" max="6" width="11.5"/>
    <col customWidth="1" min="7" max="26" width="8.0"/>
  </cols>
  <sheetData>
    <row r="1" ht="14.25" customHeight="1">
      <c r="A1" s="1" t="s">
        <v>382</v>
      </c>
      <c r="B1" s="19" t="s">
        <v>385</v>
      </c>
    </row>
    <row r="2" ht="14.25" customHeight="1">
      <c r="A2" s="3" t="s">
        <v>386</v>
      </c>
      <c r="B2" s="20" t="str">
        <f>IF(OR(ISBLANK(box!$E2),EXACT(MID(box!$E2,1,LEN($A$2)),$A$2)),"",""""&amp;$A$2&amp;box!$A2&amp;"."&amp;box!$D2&amp;""": """&amp;SUBSTITUTE(box!$E2,"""","\""")&amp;""",")</f>
        <v/>
      </c>
    </row>
    <row r="3" ht="14.25" customHeight="1">
      <c r="B3" s="20" t="str">
        <f>IF(OR(ISBLANK(box!$E3),EXACT(MID(box!$E3,1,LEN($A$2)),$A$2)),"",""""&amp;$A$2&amp;box!$A3&amp;"."&amp;box!$D3&amp;""": """&amp;SUBSTITUTE(box!$E3,"""","\""")&amp;""",")</f>
        <v>"layout.box.header.Person.projects": "Projects",</v>
      </c>
    </row>
    <row r="4" ht="14.25" customHeight="1">
      <c r="B4" s="20" t="str">
        <f>IF(OR(ISBLANK(box!$E4),EXACT(MID(box!$E4,1,LEN($A$2)),$A$2)),"",""""&amp;$A$2&amp;box!$A4&amp;"."&amp;box!$D4&amp;""": """&amp;SUBSTITUTE(box!$E4,"""","\""")&amp;""",")</f>
        <v>"layout.box.header.Person.researchoutputs": "Publications",</v>
      </c>
    </row>
    <row r="5" ht="14.25" customHeight="1">
      <c r="B5" s="20" t="str">
        <f>IF(OR(ISBLANK(box!$E5),EXACT(MID(box!$E5,1,LEN($A$2)),$A$2)),"",""""&amp;$A$2&amp;box!$A5&amp;"."&amp;box!$D5&amp;""": """&amp;SUBSTITUTE(box!$E5,"""","\""")&amp;""",")</f>
        <v>"layout.box.header.Person.qualifications": "Professional Qualifications",</v>
      </c>
    </row>
    <row r="6" ht="14.25" customHeight="1">
      <c r="B6" s="20" t="str">
        <f>IF(OR(ISBLANK(box!$E6),EXACT(MID(box!$E6,1,LEN($A$2)),$A$2)),"",""""&amp;$A$2&amp;box!$A6&amp;"."&amp;box!$D6&amp;""": """&amp;SUBSTITUTE(box!$E6,"""","\""")&amp;""",")</f>
        <v>"layout.box.header.Person.media": "Media Contact Directory",</v>
      </c>
    </row>
    <row r="7" ht="14.25" customHeight="1">
      <c r="B7" s="20" t="str">
        <f>IF(OR(ISBLANK(box!$E7),EXACT(MID(box!$E7,1,LEN($A$2)),$A$2)),"",""""&amp;$A$2&amp;box!$A7&amp;"."&amp;box!$D7&amp;""": """&amp;SUBSTITUTE(box!$E7,"""","\""")&amp;""",")</f>
        <v>"layout.box.header.Person.namecard": "Name Card",</v>
      </c>
    </row>
    <row r="8" ht="14.25" customHeight="1">
      <c r="B8" s="20" t="str">
        <f>IF(OR(ISBLANK(box!$E8),EXACT(MID(box!$E8,1,LEN($A$2)),$A$2)),"",""""&amp;$A$2&amp;box!$A8&amp;"."&amp;box!$D8&amp;""": """&amp;SUBSTITUTE(box!$E8,"""","\""")&amp;""",")</f>
        <v>"layout.box.header.Person.researcherprofile": "Profile",</v>
      </c>
    </row>
    <row r="9" ht="14.25" customHeight="1">
      <c r="B9" s="20" t="str">
        <f>IF(OR(ISBLANK(box!$E9),EXACT(MID(box!$E9,1,LEN($A$2)),$A$2)),"",""""&amp;$A$2&amp;box!$A9&amp;"."&amp;box!$D9&amp;""": """&amp;SUBSTITUTE(box!$E9,"""","\""")&amp;""",")</f>
        <v>"layout.box.header.Person.metrics": "Metrics",</v>
      </c>
    </row>
    <row r="10" ht="14.25" customHeight="1">
      <c r="B10" s="20" t="str">
        <f>IF(OR(ISBLANK(box!$E10),EXACT(MID(box!$E10,1,LEN($A$2)),$A$2)),"",""""&amp;$A$2&amp;box!$A10&amp;"."&amp;box!$D10&amp;""": """&amp;SUBSTITUTE(box!$E10,"""","\""")&amp;""",")</f>
        <v>"layout.box.header.Person.usagemetrics": "Usage Metrics",</v>
      </c>
    </row>
    <row r="11" ht="14.25" customHeight="1">
      <c r="B11" s="20" t="str">
        <f>IF(OR(ISBLANK(box!$E11),EXACT(MID(box!$E11,1,LEN($A$2)),$A$2)),"",""""&amp;$A$2&amp;box!$A11&amp;"."&amp;box!$D11&amp;""": """&amp;SUBSTITUTE(box!$E11,"""","\""")&amp;""",")</f>
        <v>"layout.box.header.Person.secure": "Secured box",</v>
      </c>
    </row>
    <row r="12" ht="14.25" customHeight="1">
      <c r="B12" s="20" t="str">
        <f>IF(OR(ISBLANK(box!$E13),EXACT(MID(box!$E13,1,LEN($A$2)),$A$2)),"",""""&amp;$A$2&amp;box!$A13&amp;"."&amp;box!$D13&amp;""": """&amp;SUBSTITUTE(box!$E13,"""","\""")&amp;""",")</f>
        <v>"layout.box.header.OrgUnit.rpprojects": "OrgUnit's Researchers projects",</v>
      </c>
    </row>
    <row r="13" ht="14.25" customHeight="1">
      <c r="B13" s="20" t="str">
        <f>IF(OR(ISBLANK(#REF!),EXACT(MID(#REF!,1,LEN($A$2)),$A$2)),"",""""&amp;$A$2&amp;#REF!&amp;"."&amp;#REF!&amp;""": """&amp;SUBSTITUTE(#REF!,"""","\""")&amp;""",")</f>
        <v>#REF!</v>
      </c>
    </row>
    <row r="14" ht="14.25" customHeight="1">
      <c r="B14" s="20" t="str">
        <f>IF(OR(ISBLANK(box!$E14),EXACT(MID(box!$E14,1,LEN($A$2)),$A$2)),"",""""&amp;$A$2&amp;box!$A14&amp;"."&amp;box!$D14&amp;""": """&amp;SUBSTITUTE(box!$E14,"""","\""")&amp;""",")</f>
        <v>"layout.box.header.OrgUnit.rppublications": "OrgUnit's Researchers publications",</v>
      </c>
    </row>
    <row r="15" ht="14.25" customHeight="1">
      <c r="B15" s="20" t="str">
        <f>IF(OR(ISBLANK(box!$E15),EXACT(MID(box!$E15,1,LEN($A$2)),$A$2)),"",""""&amp;$A$2&amp;box!$A15&amp;"."&amp;box!$D15&amp;""": """&amp;SUBSTITUTE(box!$E15,"""","\""")&amp;""",")</f>
        <v>"layout.box.header.OrgUnit.people": "OrgUnit's Researchers",</v>
      </c>
    </row>
    <row r="16" ht="14.25" customHeight="1">
      <c r="B16" s="20" t="str">
        <f>IF(OR(ISBLANK(box!$E16),EXACT(MID(box!$E16,1,LEN($A$2)),$A$2)),"",""""&amp;$A$2&amp;box!$A16&amp;"."&amp;box!$D16&amp;""": """&amp;SUBSTITUTE(box!$E16,"""","\""")&amp;""",")</f>
        <v>"layout.box.header.OrgUnit.projects": "OrgUnit funded Projects",</v>
      </c>
    </row>
    <row r="17" ht="14.25" customHeight="1">
      <c r="B17" s="20" t="str">
        <f>IF(OR(ISBLANK(box!$E18),EXACT(MID(box!$E18,1,LEN($A$2)),$A$2)),"",""""&amp;$A$2&amp;box!$A18&amp;"."&amp;box!$D18&amp;""": """&amp;SUBSTITUTE(box!$E18,"""","\""")&amp;""",")</f>
        <v/>
      </c>
    </row>
    <row r="18" ht="14.25" customHeight="1">
      <c r="B18" s="20" t="str">
        <f>IF(OR(ISBLANK(box!$E19),EXACT(MID(box!$E19,1,LEN($A$2)),$A$2)),"",""""&amp;$A$2&amp;box!$A19&amp;"."&amp;box!$D19&amp;""": """&amp;SUBSTITUTE(box!$E19,"""","\""")&amp;""",")</f>
        <v>"layout.box.header.OrgUnit.description": "Description",</v>
      </c>
    </row>
    <row r="19" ht="14.25" customHeight="1">
      <c r="B19" s="20" t="str">
        <f>IF(OR(ISBLANK(box!$E20),EXACT(MID(box!$E20,1,LEN($A$2)),$A$2)),"",""""&amp;$A$2&amp;box!$A20&amp;"."&amp;box!$D20&amp;""": """&amp;SUBSTITUTE(box!$E20,"""","\""")&amp;""",")</f>
        <v>"layout.box.header.OrgUnit.organizations": "SubOrgUnits",</v>
      </c>
    </row>
    <row r="20" ht="14.25" customHeight="1">
      <c r="B20" s="20" t="str">
        <f>IF(OR(ISBLANK(box!$E21),EXACT(MID(box!$E21,1,LEN($A$2)),$A$2)),"",""""&amp;$A$2&amp;box!$A21&amp;"."&amp;box!$D21&amp;""": """&amp;SUBSTITUTE(box!$E21,"""","\""")&amp;""",")</f>
        <v>"layout.box.header.OrgUnit.details": "Details",</v>
      </c>
    </row>
    <row r="21" ht="14.25" customHeight="1">
      <c r="B21" s="20" t="str">
        <f>IF(OR(ISBLANK(box!$E22),EXACT(MID(box!$E22,1,LEN($A$2)),$A$2)),"",""""&amp;$A$2&amp;box!$A22&amp;"."&amp;box!$D22&amp;""": """&amp;SUBSTITUTE(box!$E22,"""","\""")&amp;""",")</f>
        <v>"layout.box.header.OrgUnit.orgcard": "Card",</v>
      </c>
    </row>
    <row r="22" ht="14.25" customHeight="1">
      <c r="B22" s="20" t="str">
        <f>IF(OR(ISBLANK(box!$E23),EXACT(MID(box!$E23,1,LEN($A$2)),$A$2)),"",""""&amp;$A$2&amp;box!$A23&amp;"."&amp;box!$D23&amp;""": """&amp;SUBSTITUTE(box!$E23,"""","\""")&amp;""",")</f>
        <v>"layout.box.header.OrgUnit.metrics": "Metrics",</v>
      </c>
    </row>
    <row r="23" ht="14.25" customHeight="1">
      <c r="B23" s="20" t="str">
        <f>IF(OR(ISBLANK(box!#REF!),EXACT(MID(box!#REF!,1,LEN($A$2)),$A$2)),"",""""&amp;$A$2&amp;box!#REF!&amp;"."&amp;box!#REF!&amp;""": """&amp;SUBSTITUTE(box!#REF!,"""","\""")&amp;""",")</f>
        <v>#ERROR!</v>
      </c>
    </row>
    <row r="24" ht="14.25" customHeight="1">
      <c r="B24" s="20" t="str">
        <f>IF(OR(ISBLANK(box!$E25),EXACT(MID(box!$E25,1,LEN($A$2)),$A$2)),"",""""&amp;$A$2&amp;box!$A25&amp;"."&amp;box!$D25&amp;""": """&amp;SUBSTITUTE(box!$E25,"""","\""")&amp;""",")</f>
        <v>"layout.box.header.Project.researchoutputs": "Publications",</v>
      </c>
    </row>
    <row r="25" ht="14.25" customHeight="1">
      <c r="B25" s="20" t="str">
        <f>IF(OR(ISBLANK(box!$E26),EXACT(MID(box!$E26,1,LEN($A$2)),$A$2)),"",""""&amp;$A$2&amp;box!$A26&amp;"."&amp;box!$D26&amp;""": """&amp;SUBSTITUTE(box!$E26,"""","\""")&amp;""",")</f>
        <v>"layout.box.header.Project.fundings": "Fundings",</v>
      </c>
    </row>
    <row r="26" ht="14.25" customHeight="1">
      <c r="B26" s="20" t="str">
        <f>IF(OR(ISBLANK(box!$E27),EXACT(MID(box!$E27,1,LEN($A$2)),$A$2)),"",""""&amp;$A$2&amp;box!$A27&amp;"."&amp;box!$D27&amp;""": """&amp;SUBSTITUTE(box!$E27,"""","\""")&amp;""",")</f>
        <v>"layout.box.header.Project.primarydata": "Primary Data",</v>
      </c>
    </row>
    <row r="27" ht="14.25" customHeight="1">
      <c r="B27" s="20" t="str">
        <f>IF(OR(ISBLANK(box!$E32),EXACT(MID(box!$E32,1,LEN($A$2)),$A$2)),"",""""&amp;$A$2&amp;box!$A32&amp;"."&amp;box!$D32&amp;""": """&amp;SUBSTITUTE(box!$E32,"""","\""")&amp;""",")</f>
        <v>"layout.box.header.Project.projectcard": "Project Card",</v>
      </c>
    </row>
    <row r="28" ht="14.25" customHeight="1">
      <c r="B28" s="20" t="str">
        <f>IF(OR(ISBLANK(box!$E33),EXACT(MID(box!$E33,1,LEN($A$2)),$A$2)),"",""""&amp;$A$2&amp;box!$A33&amp;"."&amp;box!$D33&amp;""": """&amp;SUBSTITUTE(box!$E33,"""","\""")&amp;""",")</f>
        <v>"layout.box.header.Project.metrics": "Metrics",</v>
      </c>
    </row>
    <row r="29" ht="14.25" customHeight="1">
      <c r="B29" s="20" t="str">
        <f>IF(OR(ISBLANK(box!$E34),EXACT(MID(box!$E34,1,LEN($A$2)),$A$2)),"",""""&amp;$A$2&amp;box!$A34&amp;"."&amp;box!$D34&amp;""": """&amp;SUBSTITUTE(box!$E34,"""","\""")&amp;""",")</f>
        <v/>
      </c>
    </row>
    <row r="30" ht="14.25" customHeight="1">
      <c r="B30" s="20" t="str">
        <f>IF(OR(ISBLANK(box!$E35),EXACT(MID(box!$E35,1,LEN($A$2)),$A$2)),"",""""&amp;$A$2&amp;box!$A35&amp;"."&amp;box!$D35&amp;""": """&amp;SUBSTITUTE(box!$E35,"""","\""")&amp;""",")</f>
        <v>"layout.box.header.Funding.primarydata": "Primary Data",</v>
      </c>
    </row>
    <row r="31" ht="14.25" customHeight="1">
      <c r="B31" s="20" t="str">
        <f>IF(OR(ISBLANK(box!$E36),EXACT(MID(box!$E36,1,LEN($A$2)),$A$2)),"",""""&amp;$A$2&amp;box!$A36&amp;"."&amp;box!$D36&amp;""": """&amp;SUBSTITUTE(box!$E36,"""","\""")&amp;""",")</f>
        <v>"layout.box.header.Funding.financialdata": "Financial Data",</v>
      </c>
    </row>
    <row r="32" ht="14.25" customHeight="1">
      <c r="B32" s="20" t="str">
        <f>IF(OR(ISBLANK(box!$E37),EXACT(MID(box!$E37,1,LEN($A$2)),$A$2)),"",""""&amp;$A$2&amp;box!$A37&amp;"."&amp;box!$D37&amp;""": """&amp;SUBSTITUTE(box!$E37,"""","\""")&amp;""",")</f>
        <v>"layout.box.header.Funding.metrics": "Metrics",</v>
      </c>
    </row>
    <row r="33" ht="14.25" customHeight="1">
      <c r="B33" s="20" t="str">
        <f>IF(OR(ISBLANK(box!$E38),EXACT(MID(box!$E38,1,LEN($A$2)),$A$2)),"",""""&amp;$A$2&amp;box!$A38&amp;"."&amp;box!$D38&amp;""": """&amp;SUBSTITUTE(box!$E38,"""","\""")&amp;""",")</f>
        <v>"layout.box.header.Journal.details": "Journal description",</v>
      </c>
    </row>
    <row r="34" ht="14.25" customHeight="1">
      <c r="B34" s="20" t="str">
        <f>IF(OR(ISBLANK(box!$E39),EXACT(MID(box!$E39,1,LEN($A$2)),$A$2)),"",""""&amp;$A$2&amp;box!$A39&amp;"."&amp;box!$D39&amp;""": """&amp;SUBSTITUTE(box!$E39,"""","\""")&amp;""",")</f>
        <v>"layout.box.header.Journal.metrics": "Metrics",</v>
      </c>
    </row>
    <row r="35" ht="14.25" customHeight="1">
      <c r="B35" s="20" t="str">
        <f>IF(OR(ISBLANK(box!$E40),EXACT(MID(box!$E40,1,LEN($A$2)),$A$2)),"",""""&amp;$A$2&amp;box!$A40&amp;"."&amp;box!$D40&amp;""": """&amp;SUBSTITUTE(box!$E40,"""","\""")&amp;""",")</f>
        <v>"layout.box.header.Event.details": "Description",</v>
      </c>
    </row>
    <row r="36" ht="14.25" customHeight="1">
      <c r="B36" s="20" t="str">
        <f>IF(OR(ISBLANK(box!$E41),EXACT(MID(box!$E41,1,LEN($A$2)),$A$2)),"",""""&amp;$A$2&amp;box!$A41&amp;"."&amp;box!$D41&amp;""": """&amp;SUBSTITUTE(box!$E41,"""","\""")&amp;""",")</f>
        <v>"layout.box.header.Event.metrics": "Metrics",</v>
      </c>
    </row>
    <row r="37" ht="14.25" customHeight="1">
      <c r="B37" s="20" t="str">
        <f>IF(OR(ISBLANK(box!$E42),EXACT(MID(box!$E42,1,LEN($A$2)),$A$2)),"",""""&amp;$A$2&amp;box!$A42&amp;"."&amp;box!$D42&amp;""": """&amp;SUBSTITUTE(box!$E42,"""","\""")&amp;""",")</f>
        <v>"layout.box.header.Equipment.details": "Equipment description",</v>
      </c>
    </row>
    <row r="38" ht="14.25" customHeight="1">
      <c r="B38" s="20" t="str">
        <f>IF(OR(ISBLANK(box!$E43),EXACT(MID(box!$E43,1,LEN($A$2)),$A$2)),"",""""&amp;$A$2&amp;box!$A43&amp;"."&amp;box!$D43&amp;""": """&amp;SUBSTITUTE(box!$E43,"""","\""")&amp;""",")</f>
        <v>"layout.box.header.Equipment.metrics": "Metrics",</v>
      </c>
    </row>
    <row r="39" ht="14.25" customHeight="1">
      <c r="B39" s="20" t="str">
        <f>IF(OR(ISBLANK(box!$E44),EXACT(MID(box!$E44,1,LEN($A$2)),$A$2)),"",""""&amp;$A$2&amp;box!$A44&amp;"."&amp;box!$D44&amp;""": """&amp;SUBSTITUTE(box!$E44,"""","\""")&amp;""",")</f>
        <v/>
      </c>
    </row>
    <row r="40" ht="14.25" customHeight="1">
      <c r="B40" s="20" t="str">
        <f>IF(OR(ISBLANK(box!$E45),EXACT(MID(box!$E45,1,LEN($A$2)),$A$2)),"",""""&amp;$A$2&amp;box!$A45&amp;"."&amp;box!$D45&amp;""": """&amp;SUBSTITUTE(box!$E45,"""","\""")&amp;""",")</f>
        <v>"layout.box.header.Publication.details": "Details",</v>
      </c>
    </row>
    <row r="41" ht="14.25" customHeight="1">
      <c r="B41" s="20" t="str">
        <f>IF(OR(ISBLANK(box!$E46),EXACT(MID(box!$E46,1,LEN($A$2)),$A$2)),"",""""&amp;$A$2&amp;box!$A46&amp;"."&amp;box!$D46&amp;""": """&amp;SUBSTITUTE(box!$E46,"""","\""")&amp;""",")</f>
        <v>"layout.box.header.Publication.metrics": "Metrics",</v>
      </c>
    </row>
    <row r="42" ht="14.25" customHeight="1">
      <c r="B42" s="20" t="str">
        <f>IF(OR(ISBLANK(box!$E47),EXACT(MID(box!$E47,1,LEN($A$2)),$A$2)),"",""""&amp;$A$2&amp;box!$A47&amp;"."&amp;box!$D47&amp;""": """&amp;SUBSTITUTE(box!$E47,"""","\""")&amp;""",")</f>
        <v>"layout.box.header.Publication.altmetrics": "Alternative Metrics",</v>
      </c>
    </row>
    <row r="43" ht="14.25" customHeight="1">
      <c r="B43" s="20" t="str">
        <f>IF(OR(ISBLANK(box!$E48),EXACT(MID(box!$E48,1,LEN($A$2)),$A$2)),"",""""&amp;$A$2&amp;box!$A48&amp;"."&amp;box!$D48&amp;""": """&amp;SUBSTITUTE(box!$E48,"""","\""")&amp;""",")</f>
        <v>"layout.box.header.Publication.usagemetrics": "Usage Metrics",</v>
      </c>
    </row>
    <row r="44" ht="14.25" customHeight="1">
      <c r="B44" s="20" t="str">
        <f>IF(OR(ISBLANK(box!$E49),EXACT(MID(box!$E49,1,LEN($A$2)),$A$2)),"",""""&amp;$A$2&amp;box!$A49&amp;"."&amp;box!$D49&amp;""": """&amp;SUBSTITUTE(box!$E49,"""","\""")&amp;""",")</f>
        <v/>
      </c>
    </row>
    <row r="45" ht="14.25" customHeight="1">
      <c r="B45" s="20" t="str">
        <f>IF(OR(ISBLANK(box!$E54),EXACT(MID(box!$E54,1,LEN($A$2)),$A$2)),"",""""&amp;$A$2&amp;box!$A54&amp;"."&amp;box!$D54&amp;""": """&amp;SUBSTITUTE(box!$E54,"""","\""")&amp;""",")</f>
        <v>"layout.box.header.Patent.details": "Details",</v>
      </c>
    </row>
    <row r="46" ht="14.25" customHeight="1">
      <c r="B46" s="20" t="str">
        <f>IF(OR(ISBLANK(box!$E55),EXACT(MID(box!$E55,1,LEN($A$2)),$A$2)),"",""""&amp;$A$2&amp;box!$A55&amp;"."&amp;box!$D55&amp;""": """&amp;SUBSTITUTE(box!$E55,"""","\""")&amp;""",")</f>
        <v>"layout.box.header.Patent.metrics": "Metrics",</v>
      </c>
    </row>
    <row r="47" ht="14.25" customHeight="1">
      <c r="B47" s="20" t="str">
        <f>IF(OR(ISBLANK(box!$E56),EXACT(MID(box!$E56,1,LEN($A$2)),$A$2)),"",""""&amp;$A$2&amp;box!$A56&amp;"."&amp;box!$D56&amp;""": """&amp;SUBSTITUTE(box!$E56,"""","\""")&amp;""",")</f>
        <v>"layout.box.header.Patent.altmetrics": "Metrics",</v>
      </c>
    </row>
    <row r="48" ht="14.25" customHeight="1">
      <c r="B48" s="20" t="str">
        <f>IF(OR(ISBLANK(box!$E57),EXACT(MID(box!$E57,1,LEN($A$2)),$A$2)),"",""""&amp;$A$2&amp;box!$A57&amp;"."&amp;box!$D57&amp;""": """&amp;SUBSTITUTE(box!$E57,"""","\""")&amp;""",")</f>
        <v>"layout.box.header.Patent.usagemetrics": "Metrics",</v>
      </c>
    </row>
    <row r="49" ht="14.25" customHeight="1">
      <c r="B49" s="20" t="str">
        <f>IF(OR(ISBLANK(box!$E58),EXACT(MID(box!$E58,1,LEN($A$2)),$A$2)),"",""""&amp;$A$2&amp;box!$A58&amp;"."&amp;box!$D58&amp;""": """&amp;SUBSTITUTE(box!$E58,"""","\""")&amp;""",")</f>
        <v/>
      </c>
    </row>
    <row r="50" ht="14.25" customHeight="1">
      <c r="B50" s="20" t="str">
        <f>IF(OR(ISBLANK(box!$E59),EXACT(MID(box!$E59,1,LEN($A$2)),$A$2)),"",""""&amp;$A$2&amp;box!$A59&amp;"."&amp;box!$D59&amp;""": """&amp;SUBSTITUTE(box!$E59,"""","\""")&amp;""",")</f>
        <v>"layout.box.header.Product.details": "Details",</v>
      </c>
    </row>
    <row r="51" ht="14.25" customHeight="1">
      <c r="B51" s="20" t="str">
        <f>IF(OR(ISBLANK(box!$E60),EXACT(MID(box!$E60,1,LEN($A$2)),$A$2)),"",""""&amp;$A$2&amp;box!$A60&amp;"."&amp;box!$D60&amp;""": """&amp;SUBSTITUTE(box!$E60,"""","\""")&amp;""",")</f>
        <v>"layout.box.header.Product.metrics": "Metrics",</v>
      </c>
    </row>
    <row r="52" ht="14.25" customHeight="1">
      <c r="B52" s="20" t="str">
        <f>IF(OR(ISBLANK(box!$E61),EXACT(MID(box!$E61,1,LEN($A$2)),$A$2)),"",""""&amp;$A$2&amp;box!$A61&amp;"."&amp;box!$D61&amp;""": """&amp;SUBSTITUTE(box!$E61,"""","\""")&amp;""",")</f>
        <v>"layout.box.header.Product.altmetrics": "Metrics",</v>
      </c>
    </row>
    <row r="53" ht="14.25" customHeight="1">
      <c r="B53" s="20" t="str">
        <f>IF(OR(ISBLANK(box!$E62),EXACT(MID(box!$E62,1,LEN($A$2)),$A$2)),"",""""&amp;$A$2&amp;box!$A62&amp;"."&amp;box!$D62&amp;""": """&amp;SUBSTITUTE(box!$E62,"""","\""")&amp;""",")</f>
        <v>"layout.box.header.Product.usagemetrics": "Metrics",</v>
      </c>
    </row>
    <row r="54" ht="14.25" customHeight="1">
      <c r="B54" s="20" t="str">
        <f>IF(OR(ISBLANK(box!$E63),EXACT(MID(box!$E63,1,LEN($A$2)),$A$2)),"",""""&amp;$A$2&amp;box!$A63&amp;"."&amp;box!$D63&amp;""": """&amp;SUBSTITUTE(box!$E63,"""","\""")&amp;""",")</f>
        <v/>
      </c>
    </row>
    <row r="55" ht="14.25" customHeight="1">
      <c r="B55" s="20" t="str">
        <f>IF(OR(ISBLANK(box!$E64),EXACT(MID(box!$E64,1,LEN($A$2)),$A$2)),"",""""&amp;$A$2&amp;box!$A64&amp;"."&amp;box!$D64&amp;""": """&amp;SUBSTITUTE(box!$E64,"""","\""")&amp;""",")</f>
        <v/>
      </c>
    </row>
    <row r="56" ht="14.25" customHeight="1">
      <c r="B56" s="20" t="str">
        <f>IF(OR(ISBLANK(box!$E66),EXACT(MID(box!$E66,1,LEN($A$2)),$A$2)),"",""""&amp;$A$2&amp;box!$A66&amp;"."&amp;box!$D66&amp;""": """&amp;SUBSTITUTE(box!$E66,"""","\""")&amp;""",")</f>
        <v>"layout.box.header.Thesis.research": "Research",</v>
      </c>
    </row>
    <row r="57" ht="14.25" customHeight="1">
      <c r="B57" s="20" t="str">
        <f>IF(OR(ISBLANK(box!$E67),EXACT(MID(box!$E67,1,LEN($A$2)),$A$2)),"",""""&amp;$A$2&amp;box!$A67&amp;"."&amp;box!$D67&amp;""": """&amp;SUBSTITUTE(box!$E67,"""","\""")&amp;""",")</f>
        <v>"layout.box.header.Thesis.abstract": "Abstract",</v>
      </c>
    </row>
    <row r="58" ht="14.25" customHeight="1">
      <c r="B58" s="20" t="str">
        <f>IF(OR(ISBLANK(box!$E68),EXACT(MID(box!$E68,1,LEN($A$2)),$A$2)),"",""""&amp;$A$2&amp;box!$A68&amp;"."&amp;box!$D68&amp;""": """&amp;SUBSTITUTE(box!$E68,"""","\""")&amp;""",")</f>
        <v>"layout.box.header.Thesis.keywords": "Keywords",</v>
      </c>
    </row>
    <row r="59" ht="14.25" customHeight="1">
      <c r="B59" s="20" t="str">
        <f>IF(OR(ISBLANK(box!$E69),EXACT(MID(box!$E69,1,LEN($A$2)),$A$2)),"",""""&amp;$A$2&amp;box!$A69&amp;"."&amp;box!$D69&amp;""": """&amp;SUBSTITUTE(box!$E69,"""","\""")&amp;""",")</f>
        <v/>
      </c>
    </row>
    <row r="60" ht="14.25" customHeight="1">
      <c r="B60" s="20" t="str">
        <f>IF(OR(ISBLANK(box!$E70),EXACT(MID(box!$E70,1,LEN($A$2)),$A$2)),"",""""&amp;$A$2&amp;box!$A70&amp;"."&amp;box!$D70&amp;""": """&amp;SUBSTITUTE(box!$E70,"""","\""")&amp;""",")</f>
        <v/>
      </c>
    </row>
    <row r="61" ht="14.25" customHeight="1">
      <c r="B61" s="20" t="str">
        <f>IF(OR(ISBLANK(box!$E71),EXACT(MID(box!$E71,1,LEN($A$2)),$A$2)),"",""""&amp;$A$2&amp;box!$A71&amp;"."&amp;box!$D71&amp;""": """&amp;SUBSTITUTE(box!$E71,"""","\""")&amp;""",")</f>
        <v/>
      </c>
    </row>
    <row r="62" ht="14.25" customHeight="1">
      <c r="B62" s="20" t="str">
        <f>IF(OR(ISBLANK(box!$E72),EXACT(MID(box!$E72,1,LEN($A$2)),$A$2)),"",""""&amp;$A$2&amp;box!$A72&amp;"."&amp;box!$D72&amp;""": """&amp;SUBSTITUTE(box!$E72,"""","\""")&amp;""",")</f>
        <v/>
      </c>
    </row>
    <row r="63" ht="14.25" customHeight="1">
      <c r="B63" s="20" t="str">
        <f>IF(OR(ISBLANK(box!$E73),EXACT(MID(box!$E73,1,LEN($A$2)),$A$2)),"",""""&amp;$A$2&amp;box!$A73&amp;"."&amp;box!$D73&amp;""": """&amp;SUBSTITUTE(box!$E73,"""","\""")&amp;""",")</f>
        <v/>
      </c>
    </row>
    <row r="64" ht="14.25" customHeight="1">
      <c r="B64" s="20" t="str">
        <f>IF(OR(ISBLANK(box!$E74),EXACT(MID(box!$E74,1,LEN($A$2)),$A$2)),"",""""&amp;$A$2&amp;box!$A74&amp;"."&amp;box!$D74&amp;""": """&amp;SUBSTITUTE(box!$E74,"""","\""")&amp;""",")</f>
        <v/>
      </c>
    </row>
    <row r="65" ht="14.25" customHeight="1">
      <c r="B65" s="20" t="str">
        <f>IF(OR(ISBLANK(box!$E75),EXACT(MID(box!$E75,1,LEN($A$2)),$A$2)),"",""""&amp;$A$2&amp;box!$A75&amp;"."&amp;box!$D75&amp;""": """&amp;SUBSTITUTE(box!$E75,"""","\""")&amp;""",")</f>
        <v/>
      </c>
    </row>
    <row r="66" ht="14.25" customHeight="1">
      <c r="B66" s="20" t="str">
        <f>IF(OR(ISBLANK(box!$E76),EXACT(MID(box!$E76,1,LEN($A$2)),$A$2)),"",""""&amp;$A$2&amp;box!$A76&amp;"."&amp;box!$D76&amp;""": """&amp;SUBSTITUTE(box!$E76,"""","\""")&amp;""",")</f>
        <v/>
      </c>
    </row>
    <row r="67" ht="14.25" customHeight="1">
      <c r="B67" s="20" t="str">
        <f>IF(OR(ISBLANK(box!$E77),EXACT(MID(box!$E77,1,LEN($A$2)),$A$2)),"",""""&amp;$A$2&amp;box!$A77&amp;"."&amp;box!$D77&amp;""": """&amp;SUBSTITUTE(box!$E77,"""","\""")&amp;""",")</f>
        <v/>
      </c>
    </row>
    <row r="68" ht="14.25" customHeight="1">
      <c r="B68" s="20" t="str">
        <f>IF(OR(ISBLANK(box!$E78),EXACT(MID(box!$E78,1,LEN($A$2)),$A$2)),"",""""&amp;$A$2&amp;box!$A78&amp;"."&amp;box!$D78&amp;""": """&amp;SUBSTITUTE(box!$E78,"""","\""")&amp;""",")</f>
        <v/>
      </c>
    </row>
    <row r="69" ht="14.25" customHeight="1">
      <c r="B69" s="20" t="str">
        <f>IF(OR(ISBLANK(box!$E79),EXACT(MID(box!$E79,1,LEN($A$2)),$A$2)),"",""""&amp;$A$2&amp;box!$A79&amp;"."&amp;box!$D79&amp;""": """&amp;SUBSTITUTE(box!$E79,"""","\""")&amp;""",")</f>
        <v/>
      </c>
    </row>
    <row r="70" ht="14.25" customHeight="1">
      <c r="B70" s="20" t="str">
        <f>IF(OR(ISBLANK(box!$E80),EXACT(MID(box!$E80,1,LEN($A$2)),$A$2)),"",""""&amp;$A$2&amp;box!$A80&amp;"."&amp;box!$D80&amp;""": """&amp;SUBSTITUTE(box!$E80,"""","\""")&amp;""",")</f>
        <v/>
      </c>
    </row>
    <row r="71" ht="14.25" customHeight="1">
      <c r="B71" s="20" t="str">
        <f>IF(OR(ISBLANK(box!$E81),EXACT(MID(box!$E81,1,LEN($A$2)),$A$2)),"",""""&amp;$A$2&amp;box!$A81&amp;"."&amp;box!$D81&amp;""": """&amp;SUBSTITUTE(box!$E81,"""","\""")&amp;""",")</f>
        <v/>
      </c>
    </row>
    <row r="72" ht="14.25" customHeight="1">
      <c r="B72" s="20" t="str">
        <f>IF(OR(ISBLANK(box!$E82),EXACT(MID(box!$E82,1,LEN($A$2)),$A$2)),"",""""&amp;$A$2&amp;box!$A82&amp;"."&amp;box!$D82&amp;""": """&amp;SUBSTITUTE(box!$E82,"""","\""")&amp;""",")</f>
        <v/>
      </c>
    </row>
    <row r="73" ht="14.25" customHeight="1">
      <c r="B73" s="20" t="str">
        <f>IF(OR(ISBLANK(box!$E83),EXACT(MID(box!$E83,1,LEN($A$2)),$A$2)),"",""""&amp;$A$2&amp;box!$A83&amp;"."&amp;box!$D83&amp;""": """&amp;SUBSTITUTE(box!$E83,"""","\""")&amp;""",")</f>
        <v/>
      </c>
    </row>
    <row r="74" ht="14.25" customHeight="1">
      <c r="B74" s="20" t="str">
        <f>IF(OR(ISBLANK(box!$E84),EXACT(MID(box!$E84,1,LEN($A$2)),$A$2)),"",""""&amp;$A$2&amp;box!$A84&amp;"."&amp;box!$D84&amp;""": """&amp;SUBSTITUTE(box!$E84,"""","\""")&amp;""",")</f>
        <v/>
      </c>
    </row>
    <row r="75" ht="14.25" customHeight="1">
      <c r="B75" s="20" t="str">
        <f>IF(OR(ISBLANK(box!$E85),EXACT(MID(box!$E85,1,LEN($A$2)),$A$2)),"",""""&amp;$A$2&amp;box!$A85&amp;"."&amp;box!$D85&amp;""": """&amp;SUBSTITUTE(box!$E85,"""","\""")&amp;""",")</f>
        <v/>
      </c>
    </row>
    <row r="76" ht="14.25" customHeight="1">
      <c r="B76" s="20" t="str">
        <f>IF(OR(ISBLANK(box!$E86),EXACT(MID(box!$E86,1,LEN($A$2)),$A$2)),"",""""&amp;$A$2&amp;box!$A86&amp;"."&amp;box!$D86&amp;""": """&amp;SUBSTITUTE(box!$E86,"""","\""")&amp;""",")</f>
        <v/>
      </c>
    </row>
    <row r="77" ht="14.25" customHeight="1">
      <c r="B77" s="20" t="str">
        <f>IF(OR(ISBLANK(box!$E87),EXACT(MID(box!$E87,1,LEN($A$2)),$A$2)),"",""""&amp;$A$2&amp;box!$A87&amp;"."&amp;box!$D87&amp;""": """&amp;SUBSTITUTE(box!$E87,"""","\""")&amp;""",")</f>
        <v/>
      </c>
    </row>
    <row r="78" ht="14.25" customHeight="1">
      <c r="B78" s="20" t="str">
        <f>IF(OR(ISBLANK(box!$E88),EXACT(MID(box!$E88,1,LEN($A$2)),$A$2)),"",""""&amp;$A$2&amp;box!$A88&amp;"."&amp;box!$D88&amp;""": """&amp;SUBSTITUTE(box!$E88,"""","\""")&amp;""",")</f>
        <v/>
      </c>
    </row>
    <row r="79" ht="14.25" customHeight="1">
      <c r="B79" s="20" t="str">
        <f>IF(OR(ISBLANK(box!$E89),EXACT(MID(box!$E89,1,LEN($A$2)),$A$2)),"",""""&amp;$A$2&amp;box!$A89&amp;"."&amp;box!$D89&amp;""": """&amp;SUBSTITUTE(box!$E89,"""","\""")&amp;""",")</f>
        <v/>
      </c>
    </row>
    <row r="80" ht="14.25" customHeight="1">
      <c r="B80" s="20" t="str">
        <f>IF(OR(ISBLANK(box!$E90),EXACT(MID(box!$E90,1,LEN($A$2)),$A$2)),"",""""&amp;$A$2&amp;box!$A90&amp;"."&amp;box!$D90&amp;""": """&amp;SUBSTITUTE(box!$E90,"""","\""")&amp;""",")</f>
        <v/>
      </c>
    </row>
    <row r="81" ht="14.25" customHeight="1">
      <c r="B81" s="20" t="str">
        <f>IF(OR(ISBLANK(box!$E91),EXACT(MID(box!$E91,1,LEN($A$2)),$A$2)),"",""""&amp;$A$2&amp;box!$A91&amp;"."&amp;box!$D91&amp;""": """&amp;SUBSTITUTE(box!$E91,"""","\""")&amp;""",")</f>
        <v/>
      </c>
    </row>
    <row r="82" ht="14.25" customHeight="1">
      <c r="B82" s="20" t="str">
        <f>IF(OR(ISBLANK(box!$E92),EXACT(MID(box!$E92,1,LEN($A$2)),$A$2)),"",""""&amp;$A$2&amp;box!$A92&amp;"."&amp;box!$D92&amp;""": """&amp;SUBSTITUTE(box!$E92,"""","\""")&amp;""",")</f>
        <v/>
      </c>
    </row>
    <row r="83" ht="14.25" customHeight="1">
      <c r="B83" s="20" t="str">
        <f>IF(OR(ISBLANK(box!$E93),EXACT(MID(box!$E93,1,LEN($A$2)),$A$2)),"",""""&amp;$A$2&amp;box!$A93&amp;"."&amp;box!$D93&amp;""": """&amp;SUBSTITUTE(box!$E93,"""","\""")&amp;""",")</f>
        <v/>
      </c>
    </row>
    <row r="84" ht="14.25" customHeight="1">
      <c r="B84" s="20" t="str">
        <f>IF(OR(ISBLANK(box!$E94),EXACT(MID(box!$E94,1,LEN($A$2)),$A$2)),"",""""&amp;$A$2&amp;box!$A94&amp;"."&amp;box!$D94&amp;""": """&amp;SUBSTITUTE(box!$E94,"""","\""")&amp;""",")</f>
        <v/>
      </c>
    </row>
    <row r="85" ht="14.25" customHeight="1">
      <c r="B85" s="20" t="str">
        <f>IF(OR(ISBLANK(box!$E95),EXACT(MID(box!$E95,1,LEN($A$2)),$A$2)),"",""""&amp;$A$2&amp;box!$A95&amp;"."&amp;box!$D95&amp;""": """&amp;SUBSTITUTE(box!$E95,"""","\""")&amp;""",")</f>
        <v/>
      </c>
    </row>
    <row r="86" ht="14.25" customHeight="1">
      <c r="B86" s="20" t="str">
        <f>IF(OR(ISBLANK(box!$E96),EXACT(MID(box!$E96,1,LEN($A$2)),$A$2)),"",""""&amp;$A$2&amp;box!$A96&amp;"."&amp;box!$D96&amp;""": """&amp;SUBSTITUTE(box!$E96,"""","\""")&amp;""",")</f>
        <v/>
      </c>
    </row>
    <row r="87" ht="14.25" customHeight="1">
      <c r="B87" s="20" t="str">
        <f>IF(OR(ISBLANK(box!$E97),EXACT(MID(box!$E97,1,LEN($A$2)),$A$2)),"",""""&amp;$A$2&amp;box!$A97&amp;"."&amp;box!$D97&amp;""": """&amp;SUBSTITUTE(box!$E97,"""","\""")&amp;""",")</f>
        <v/>
      </c>
    </row>
    <row r="88" ht="14.25" customHeight="1">
      <c r="B88" s="20" t="str">
        <f>IF(OR(ISBLANK(box!$E98),EXACT(MID(box!$E98,1,LEN($A$2)),$A$2)),"",""""&amp;$A$2&amp;box!$A98&amp;"."&amp;box!$D98&amp;""": """&amp;SUBSTITUTE(box!$E98,"""","\""")&amp;""",")</f>
        <v/>
      </c>
    </row>
    <row r="89" ht="14.25" customHeight="1">
      <c r="B89" s="20" t="str">
        <f>IF(OR(ISBLANK(box!$E99),EXACT(MID(box!$E99,1,LEN($A$2)),$A$2)),"",""""&amp;$A$2&amp;box!$A99&amp;"."&amp;box!$D99&amp;""": """&amp;SUBSTITUTE(box!$E99,"""","\""")&amp;""",")</f>
        <v/>
      </c>
    </row>
    <row r="90" ht="14.25" customHeight="1">
      <c r="B90" s="20" t="str">
        <f>IF(OR(ISBLANK(box!$E100),EXACT(MID(box!$E100,1,LEN($A$2)),$A$2)),"",""""&amp;$A$2&amp;box!$A100&amp;"."&amp;box!$D100&amp;""": """&amp;SUBSTITUTE(box!$E100,"""","\""")&amp;""",")</f>
        <v/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70.63"/>
    <col customWidth="1" min="3" max="6" width="11.5"/>
    <col customWidth="1" min="7" max="26" width="8.0"/>
  </cols>
  <sheetData>
    <row r="1" ht="14.25" customHeight="1">
      <c r="A1" s="1" t="s">
        <v>382</v>
      </c>
      <c r="B1" s="19" t="s">
        <v>383</v>
      </c>
    </row>
    <row r="2" ht="14.25" customHeight="1">
      <c r="A2" s="3" t="s">
        <v>387</v>
      </c>
      <c r="B2" s="20" t="str">
        <f>IF(ISBLANK(box2metadata!$I2),"",""""&amp;$A$2&amp;box2metadata!$A2&amp;"."&amp;IF(box2metadata!$E2="BITSTREAM","BITSTREAM"&amp;IF(ISBLANK(box2metadata!$G2),"","["&amp;box2metadata!$G2&amp;"]"),"["&amp;box2metadata!$F2&amp;"]")&amp;""": """&amp;SUBSTITUTE(box2metadata!$I2,"""","\""")&amp;""",")</f>
        <v>"layout.field.label.OrgUnit.[organization.address.addressCountry]": "Country",</v>
      </c>
    </row>
    <row r="3" ht="14.25" customHeight="1">
      <c r="B3" s="20" t="str">
        <f>IF(ISBLANK(box2metadata!$I3),"",""""&amp;$A$2&amp;box2metadata!$A3&amp;"."&amp;IF(box2metadata!$E3="BITSTREAM","BITSTREAM"&amp;IF(ISBLANK(box2metadata!$G3),"","["&amp;box2metadata!$G3&amp;"]"),"["&amp;box2metadata!$F3&amp;"]")&amp;""": """&amp;SUBSTITUTE(box2metadata!$I3,"""","\""")&amp;""",")</f>
        <v>"layout.field.label.OrgUnit.[organization.address.addressLocality]": "City",</v>
      </c>
    </row>
    <row r="4" ht="14.25" customHeight="1">
      <c r="B4" s="20" t="str">
        <f>IF(ISBLANK(box2metadata!$I4),"",""""&amp;$A$2&amp;box2metadata!$A4&amp;"."&amp;IF(box2metadata!$E4="BITSTREAM","BITSTREAM"&amp;IF(ISBLANK(box2metadata!$G4),"","["&amp;box2metadata!$G4&amp;"]"),"["&amp;box2metadata!$F4&amp;"]")&amp;""": """&amp;SUBSTITUTE(box2metadata!$I4,"""","\""")&amp;""",")</f>
        <v>"layout.field.label.OrgUnit.[dc.description.abstract]": "Description",</v>
      </c>
    </row>
    <row r="5" ht="14.25" customHeight="1">
      <c r="B5" s="20" t="str">
        <f>IF(ISBLANK(box2metadata!$I5),"",""""&amp;$A$2&amp;box2metadata!$A5&amp;"."&amp;IF(box2metadata!$E5="BITSTREAM","BITSTREAM"&amp;IF(ISBLANK(box2metadata!$G5),"","["&amp;box2metadata!$G5&amp;"]"),"["&amp;box2metadata!$F5&amp;"]")&amp;""": """&amp;SUBSTITUTE(box2metadata!$I5,"""","\""")&amp;""",")</f>
        <v/>
      </c>
    </row>
    <row r="6" ht="14.25" customHeight="1">
      <c r="B6" s="20" t="str">
        <f>IF(ISBLANK(#REF!),"",""""&amp;$A$2&amp;#REF!&amp;"."&amp;IF(#REF!="BITSTREAM","BITSTREAM"&amp;IF(ISBLANK(#REF!),"","["&amp;#REF!&amp;"]"),"["&amp;#REF!&amp;"]")&amp;""": """&amp;SUBSTITUTE(#REF!,"""","\""")&amp;""",")</f>
        <v>#REF!</v>
      </c>
    </row>
    <row r="7" ht="14.25" customHeight="1">
      <c r="B7" s="20" t="str">
        <f>IF(ISBLANK(box2metadata!$I6),"",""""&amp;$A$2&amp;box2metadata!$A6&amp;"."&amp;IF(box2metadata!$E6="BITSTREAM","BITSTREAM"&amp;IF(ISBLANK(box2metadata!$G6),"","["&amp;box2metadata!$G6&amp;"]"),"["&amp;box2metadata!$F6&amp;"]")&amp;""": """&amp;SUBSTITUTE(box2metadata!$I6,"""","\""")&amp;""",")</f>
        <v>"layout.field.label.OrgUnit.[oairecerif.acronym]": "Acronym",</v>
      </c>
    </row>
    <row r="8" ht="14.25" customHeight="1">
      <c r="B8" s="20" t="str">
        <f>IF(ISBLANK(#REF!),"",""""&amp;$A$2&amp;#REF!&amp;"."&amp;IF(#REF!="BITSTREAM","BITSTREAM"&amp;IF(ISBLANK(#REF!),"","["&amp;#REF!&amp;"]"),"["&amp;#REF!&amp;"]")&amp;""": """&amp;SUBSTITUTE(#REF!,"""","\""")&amp;""",")</f>
        <v>#REF!</v>
      </c>
    </row>
    <row r="9" ht="14.25" customHeight="1">
      <c r="B9" s="20" t="str">
        <f>IF(ISBLANK(box2metadata!$I11),"",""""&amp;$A$2&amp;box2metadata!$A11&amp;"."&amp;IF(box2metadata!$E11="BITSTREAM","BITSTREAM"&amp;IF(ISBLANK(box2metadata!$G11),"","["&amp;box2metadata!$G11&amp;"]"),"["&amp;box2metadata!$F11&amp;"]")&amp;""": """&amp;SUBSTITUTE(box2metadata!$I11,"""","\""")&amp;""",")</f>
        <v>"layout.field.label.OrgUnit.[organization.foundingDate]": "Founding Date",</v>
      </c>
    </row>
    <row r="10" ht="14.25" customHeight="1">
      <c r="B10" s="20" t="str">
        <f>IF(ISBLANK(box2metadata!$I11),"",""""&amp;$A$2&amp;box2metadata!$A11&amp;"."&amp;IF(box2metadata!$E11="BITSTREAM","BITSTREAM"&amp;IF(ISBLANK(box2metadata!$G11),"","["&amp;box2metadata!$G11&amp;"]"),"["&amp;box2metadata!$F11&amp;"]")&amp;""": """&amp;SUBSTITUTE(box2metadata!$I11,"""","\""")&amp;""",")</f>
        <v>"layout.field.label.OrgUnit.[organization.foundingDate]": "Founding Date",</v>
      </c>
    </row>
    <row r="11" ht="14.25" customHeight="1">
      <c r="B11" s="20" t="str">
        <f>IF(ISBLANK(box2metadata!$I12),"",""""&amp;$A$2&amp;box2metadata!$A12&amp;"."&amp;IF(box2metadata!$E12="BITSTREAM","BITSTREAM"&amp;IF(ISBLANK(box2metadata!$G12),"","["&amp;box2metadata!$G12&amp;"]"),"["&amp;box2metadata!$F12&amp;"]")&amp;""": """&amp;SUBSTITUTE(box2metadata!$I12,"""","\""")&amp;""",")</f>
        <v>"layout.field.label.OrgUnit.[organization.identifier.ror]": "ROR Identifier",</v>
      </c>
    </row>
    <row r="12" ht="14.25" customHeight="1">
      <c r="B12" s="20" t="str">
        <f>IF(ISBLANK(box2metadata!$I16),"",""""&amp;$A$2&amp;box2metadata!$A16&amp;"."&amp;IF(box2metadata!$E16="BITSTREAM","BITSTREAM"&amp;IF(ISBLANK(box2metadata!$G16),"","["&amp;box2metadata!$G16&amp;"]"),"["&amp;box2metadata!$F16&amp;"]")&amp;""": """&amp;SUBSTITUTE(box2metadata!$I16,"""","\""")&amp;""",")</f>
        <v/>
      </c>
    </row>
    <row r="13" ht="14.25" customHeight="1">
      <c r="B13" s="20" t="str">
        <f>IF(ISBLANK(box2metadata!$I17),"",""""&amp;$A$2&amp;box2metadata!$A17&amp;"."&amp;IF(box2metadata!$E17="BITSTREAM","BITSTREAM"&amp;IF(ISBLANK(box2metadata!$G17),"","["&amp;box2metadata!$G17&amp;"]"),"["&amp;box2metadata!$F17&amp;"]")&amp;""": """&amp;SUBSTITUTE(box2metadata!$I17,"""","\""")&amp;""",")</f>
        <v>"layout.field.label.OrgUnit.[dc.title]": "Organisation Name",</v>
      </c>
    </row>
    <row r="14" ht="14.25" customHeight="1">
      <c r="B14" s="20" t="str">
        <f>IF(ISBLANK(box2metadata!$I18),"",""""&amp;$A$2&amp;box2metadata!$A18&amp;"."&amp;IF(box2metadata!$E18="BITSTREAM","BITSTREAM"&amp;IF(ISBLANK(box2metadata!$G18),"","["&amp;box2metadata!$G18&amp;"]"),"["&amp;box2metadata!$F18&amp;"]")&amp;""": """&amp;SUBSTITUTE(box2metadata!$I18,"""","\""")&amp;""",")</f>
        <v>"layout.field.label.OrgUnit.[crisou.director]": "Director",</v>
      </c>
    </row>
    <row r="15" ht="14.25" customHeight="1">
      <c r="B15" s="20" t="str">
        <f>IF(ISBLANK(box2metadata!$I19),"",""""&amp;$A$2&amp;box2metadata!$A19&amp;"."&amp;IF(box2metadata!$E19="BITSTREAM","BITSTREAM"&amp;IF(ISBLANK(box2metadata!$G19),"","["&amp;box2metadata!$G19&amp;"]"),"["&amp;box2metadata!$F19&amp;"]")&amp;""": """&amp;SUBSTITUTE(box2metadata!$I19,"""","\""")&amp;""",")</f>
        <v>"layout.field.label.OrgUnit.[organization.parentOrganization]": "Parent Organisation",</v>
      </c>
    </row>
    <row r="16" ht="14.25" customHeight="1">
      <c r="B16" s="20" t="str">
        <f>IF(ISBLANK(box2metadata!$I20),"",""""&amp;$A$2&amp;box2metadata!$A20&amp;"."&amp;IF(box2metadata!$E20="BITSTREAM","BITSTREAM"&amp;IF(ISBLANK(box2metadata!$G20),"","["&amp;box2metadata!$G20&amp;"]"),"["&amp;box2metadata!$F20&amp;"]")&amp;""": """&amp;SUBSTITUTE(box2metadata!$I20,"""","\""")&amp;""",")</f>
        <v>"layout.field.label.OrgUnit.[organization.foundingDate]": "Founding Date",</v>
      </c>
    </row>
    <row r="17" ht="14.25" customHeight="1">
      <c r="B17" s="20" t="str">
        <f>IF(ISBLANK(box2metadata!$I21),"",""""&amp;$A$2&amp;box2metadata!$A21&amp;"."&amp;IF(box2metadata!$E21="BITSTREAM","BITSTREAM"&amp;IF(ISBLANK(box2metadata!$G21),"","["&amp;box2metadata!$G21&amp;"]"),"["&amp;box2metadata!$F21&amp;"]")&amp;""": """&amp;SUBSTITUTE(box2metadata!$I21,"""","\""")&amp;""",")</f>
        <v>"layout.field.label.OrgUnit.[organization.address.addressLocality]": "City",</v>
      </c>
    </row>
    <row r="18" ht="14.25" customHeight="1">
      <c r="B18" s="20" t="str">
        <f>IF(ISBLANK(box2metadata!$I22),"",""""&amp;$A$2&amp;box2metadata!$A22&amp;"."&amp;IF(box2metadata!$E22="BITSTREAM","BITSTREAM"&amp;IF(ISBLANK(box2metadata!$G22),"","["&amp;box2metadata!$G22&amp;"]"),"["&amp;box2metadata!$F22&amp;"]")&amp;""": """&amp;SUBSTITUTE(box2metadata!$I22,"""","\""")&amp;""",")</f>
        <v>"layout.field.label.OrgUnit.[organization.address.addressCountry]": "Country",</v>
      </c>
    </row>
    <row r="19" ht="14.25" customHeight="1">
      <c r="B19" s="20" t="str">
        <f>IF(ISBLANK(box2metadata!#REF!),"",""""&amp;$A$2&amp;box2metadata!#REF!&amp;"."&amp;IF(box2metadata!#REF!="BITSTREAM","BITSTREAM"&amp;IF(ISBLANK(box2metadata!#REF!),"","["&amp;box2metadata!#REF!&amp;"]"),"["&amp;box2metadata!#REF!&amp;"]")&amp;""": """&amp;SUBSTITUTE(box2metadata!#REF!,"""","\""")&amp;""",")</f>
        <v>#ERROR!</v>
      </c>
    </row>
    <row r="20" ht="14.25" customHeight="1">
      <c r="B20" s="20" t="str">
        <f>IF(ISBLANK(box2metadata!#REF!),"",""""&amp;$A$2&amp;box2metadata!#REF!&amp;"."&amp;IF(box2metadata!#REF!="BITSTREAM","BITSTREAM"&amp;IF(ISBLANK(box2metadata!#REF!),"","["&amp;box2metadata!#REF!&amp;"]"),"["&amp;box2metadata!#REF!&amp;"]")&amp;""": """&amp;SUBSTITUTE(box2metadata!#REF!,"""","\""")&amp;""",")</f>
        <v>#ERROR!</v>
      </c>
    </row>
    <row r="21" ht="14.25" customHeight="1">
      <c r="B21" s="20" t="str">
        <f>IF(ISBLANK(box2metadata!#REF!),"",""""&amp;$A$2&amp;box2metadata!#REF!&amp;"."&amp;IF(box2metadata!#REF!="BITSTREAM","BITSTREAM"&amp;IF(ISBLANK(box2metadata!#REF!),"","["&amp;box2metadata!#REF!&amp;"]"),"["&amp;box2metadata!#REF!&amp;"]")&amp;""": """&amp;SUBSTITUTE(box2metadata!#REF!,"""","\""")&amp;""",")</f>
        <v>#ERROR!</v>
      </c>
    </row>
    <row r="22" ht="14.25" customHeight="1">
      <c r="B22" s="20" t="str">
        <f>IF(ISBLANK(box2metadata!$I24),"",""""&amp;$A$2&amp;box2metadata!$A24&amp;"."&amp;IF(box2metadata!$E24="BITSTREAM","BITSTREAM"&amp;IF(ISBLANK(box2metadata!$G24),"","["&amp;box2metadata!$G24&amp;"]"),"["&amp;box2metadata!$F24&amp;"]")&amp;""": """&amp;SUBSTITUTE(box2metadata!$I24,"""","\""")&amp;""",")</f>
        <v>"layout.field.label.Project.[oairecerif.acronym]": "INACH Code",</v>
      </c>
    </row>
    <row r="23" ht="14.25" customHeight="1">
      <c r="B23" s="20" t="str">
        <f>IF(ISBLANK(box2metadata!$I23),"",""""&amp;$A$2&amp;box2metadata!$A23&amp;"."&amp;IF(box2metadata!$E23="BITSTREAM","BITSTREAM"&amp;IF(ISBLANK(box2metadata!$G23),"","["&amp;box2metadata!$G23&amp;"]"),"["&amp;box2metadata!$F23&amp;"]")&amp;""": """&amp;SUBSTITUTE(box2metadata!$I23,"""","\""")&amp;""",")</f>
        <v/>
      </c>
    </row>
    <row r="24" ht="14.25" customHeight="1">
      <c r="B24" s="20" t="str">
        <f>IF(ISBLANK(box2metadata!$I24),"",""""&amp;$A$2&amp;box2metadata!$A24&amp;"."&amp;IF(box2metadata!$E24="BITSTREAM","BITSTREAM"&amp;IF(ISBLANK(box2metadata!$G24),"","["&amp;box2metadata!$G24&amp;"]"),"["&amp;box2metadata!$F24&amp;"]")&amp;""": """&amp;SUBSTITUTE(box2metadata!$I24,"""","\""")&amp;""",")</f>
        <v>"layout.field.label.Project.[oairecerif.acronym]": "INACH Code",</v>
      </c>
    </row>
    <row r="25" ht="14.25" customHeight="1">
      <c r="B25" s="20" t="str">
        <f>IF(ISBLANK(box2metadata!$I38),"",""""&amp;$A$2&amp;box2metadata!$A38&amp;"."&amp;IF(box2metadata!$E38="BITSTREAM","BITSTREAM"&amp;IF(ISBLANK(box2metadata!$G38),"","["&amp;box2metadata!$G38&amp;"]"),"["&amp;box2metadata!$F38&amp;"]")&amp;""": """&amp;SUBSTITUTE(box2metadata!$I38,"""","\""")&amp;""",")</f>
        <v/>
      </c>
    </row>
    <row r="26" ht="14.25" customHeight="1">
      <c r="B26" s="20" t="str">
        <f>IF(ISBLANK(box2metadata!$I39),"",""""&amp;$A$2&amp;box2metadata!$A39&amp;"."&amp;IF(box2metadata!$E39="BITSTREAM","BITSTREAM"&amp;IF(ISBLANK(box2metadata!$G39),"","["&amp;box2metadata!$G39&amp;"]"),"["&amp;box2metadata!$F39&amp;"]")&amp;""": """&amp;SUBSTITUTE(box2metadata!$I39,"""","\""")&amp;""",")</f>
        <v>"layout.field.label.Project.[dc.title]": "Project Title",</v>
      </c>
    </row>
    <row r="27" ht="14.25" customHeight="1">
      <c r="B27" s="20" t="str">
        <f>IF(ISBLANK(box2metadata!$I40),"",""""&amp;$A$2&amp;box2metadata!$A40&amp;"."&amp;IF(box2metadata!$E40="BITSTREAM","BITSTREAM"&amp;IF(ISBLANK(box2metadata!$G40),"","["&amp;box2metadata!$G40&amp;"]"),"["&amp;box2metadata!$F40&amp;"]")&amp;""": """&amp;SUBSTITUTE(box2metadata!$I40,"""","\""")&amp;""",")</f>
        <v>"layout.field.label.Project.[oairecerif.internalid]": "Internal ID",</v>
      </c>
    </row>
    <row r="28" ht="14.25" customHeight="1">
      <c r="B28" s="20" t="str">
        <f>IF(ISBLANK(box2metadata!$I41),"",""""&amp;$A$2&amp;box2metadata!$A41&amp;"."&amp;IF(box2metadata!$E41="BITSTREAM","BITSTREAM"&amp;IF(ISBLANK(box2metadata!$G41),"","["&amp;box2metadata!$G41&amp;"]"),"["&amp;box2metadata!$F41&amp;"]")&amp;""": """&amp;SUBSTITUTE(box2metadata!$I41,"""","\""")&amp;""",")</f>
        <v>"layout.field.label.Project.[oairecerif.project.status]": "Status",</v>
      </c>
    </row>
    <row r="29" ht="14.25" customHeight="1">
      <c r="B29" s="20" t="str">
        <f>IF(ISBLANK(box2metadata!$I42),"",""""&amp;$A$2&amp;box2metadata!$A42&amp;"."&amp;IF(box2metadata!$E42="BITSTREAM","BITSTREAM"&amp;IF(ISBLANK(box2metadata!$G42),"","["&amp;box2metadata!$G42&amp;"]"),"["&amp;box2metadata!$F42&amp;"]")&amp;""": """&amp;SUBSTITUTE(box2metadata!$I42,"""","\""")&amp;""",")</f>
        <v>"layout.field.label.Project.[oairecerif.project.startDate]": "Start Date",</v>
      </c>
    </row>
    <row r="30" ht="14.25" customHeight="1">
      <c r="B30" s="20" t="str">
        <f>IF(ISBLANK(box2metadata!$I43),"",""""&amp;$A$2&amp;box2metadata!$A43&amp;"."&amp;IF(box2metadata!$E43="BITSTREAM","BITSTREAM"&amp;IF(ISBLANK(box2metadata!$G43),"","["&amp;box2metadata!$G43&amp;"]"),"["&amp;box2metadata!$F43&amp;"]")&amp;""": """&amp;SUBSTITUTE(box2metadata!$I43,"""","\""")&amp;""",")</f>
        <v>"layout.field.label.Project.[oairecerif.project.endDate]": "End Date",</v>
      </c>
    </row>
    <row r="31" ht="14.25" customHeight="1">
      <c r="B31" s="20" t="str">
        <f>IF(ISBLANK(box2metadata!$I44),"",""""&amp;$A$2&amp;box2metadata!$A44&amp;"."&amp;IF(box2metadata!$E44="BITSTREAM","BITSTREAM"&amp;IF(ISBLANK(box2metadata!$G44),"","["&amp;box2metadata!$G44&amp;"]"),"["&amp;box2metadata!$F44&amp;"]")&amp;""": """&amp;SUBSTITUTE(box2metadata!$I44,"""","\""")&amp;""",")</f>
        <v/>
      </c>
    </row>
    <row r="32" ht="14.25" customHeight="1">
      <c r="B32" s="20" t="str">
        <f>IF(ISBLANK(box2metadata!$I45),"",""""&amp;$A$2&amp;box2metadata!$A45&amp;"."&amp;IF(box2metadata!$E45="BITSTREAM","BITSTREAM"&amp;IF(ISBLANK(box2metadata!$G45),"","["&amp;box2metadata!$G45&amp;"]"),"["&amp;box2metadata!$F45&amp;"]")&amp;""": """&amp;SUBSTITUTE(box2metadata!$I45,"""","\""")&amp;""",")</f>
        <v>"layout.field.label.Funding.[dc.relation.project]": "Project",</v>
      </c>
    </row>
    <row r="33" ht="14.25" customHeight="1">
      <c r="B33" s="20" t="str">
        <f>IF(ISBLANK(box2metadata!$I46),"",""""&amp;$A$2&amp;box2metadata!$A46&amp;"."&amp;IF(box2metadata!$E46="BITSTREAM","BITSTREAM"&amp;IF(ISBLANK(box2metadata!$G46),"","["&amp;box2metadata!$G46&amp;"]"),"["&amp;box2metadata!$F46&amp;"]")&amp;""": """&amp;SUBSTITUTE(box2metadata!$I46,"""","\""")&amp;""",")</f>
        <v>"layout.field.label.Funding.[dc.type]": "Type",</v>
      </c>
    </row>
    <row r="34" ht="14.25" customHeight="1">
      <c r="B34" s="20" t="str">
        <f>IF(ISBLANK(box2metadata!$I47),"",""""&amp;$A$2&amp;box2metadata!$A47&amp;"."&amp;IF(box2metadata!$E47="BITSTREAM","BITSTREAM"&amp;IF(ISBLANK(box2metadata!$G47),"","["&amp;box2metadata!$G47&amp;"]"),"["&amp;box2metadata!$F47&amp;"]")&amp;""": """&amp;SUBSTITUTE(box2metadata!$I47,"""","\""")&amp;""",")</f>
        <v>"layout.field.label.Funding.[oairecerif.funder]": "Funder",</v>
      </c>
    </row>
    <row r="35" ht="14.25" customHeight="1">
      <c r="B35" s="20" t="str">
        <f>IF(ISBLANK(box2metadata!$I48),"",""""&amp;$A$2&amp;box2metadata!$A48&amp;"."&amp;IF(box2metadata!$E48="BITSTREAM","BITSTREAM"&amp;IF(ISBLANK(box2metadata!$G48),"","["&amp;box2metadata!$G48&amp;"]"),"["&amp;box2metadata!$F48&amp;"]")&amp;""": """&amp;SUBSTITUTE(box2metadata!$I48,"""","\""")&amp;""",")</f>
        <v>"layout.field.label.Funding.[oairecerif.fundingParent]": "Funding Program",</v>
      </c>
    </row>
    <row r="36" ht="14.25" customHeight="1">
      <c r="B36" s="20" t="str">
        <f>IF(ISBLANK(box2metadata!$I38),"",""""&amp;$A$2&amp;box2metadata!$A38&amp;"."&amp;IF(box2metadata!$E38="BITSTREAM","BITSTREAM"&amp;IF(ISBLANK(box2metadata!$G38),"","["&amp;box2metadata!$G38&amp;"]"),"["&amp;box2metadata!$F38&amp;"]")&amp;""": """&amp;SUBSTITUTE(box2metadata!$I38,"""","\""")&amp;""",")</f>
        <v/>
      </c>
    </row>
    <row r="37" ht="14.25" customHeight="1">
      <c r="B37" s="20" t="str">
        <f>IF(ISBLANK(box2metadata!$I39),"",""""&amp;$A$2&amp;box2metadata!$A39&amp;"."&amp;IF(box2metadata!$E39="BITSTREAM","BITSTREAM"&amp;IF(ISBLANK(box2metadata!$G39),"","["&amp;box2metadata!$G39&amp;"]"),"["&amp;box2metadata!$F39&amp;"]")&amp;""": """&amp;SUBSTITUTE(box2metadata!$I39,"""","\""")&amp;""",")</f>
        <v>"layout.field.label.Project.[dc.title]": "Project Title",</v>
      </c>
    </row>
    <row r="38" ht="14.25" customHeight="1">
      <c r="B38" s="20" t="str">
        <f>IF(ISBLANK(box2metadata!$I40),"",""""&amp;$A$2&amp;box2metadata!$A40&amp;"."&amp;IF(box2metadata!$E40="BITSTREAM","BITSTREAM"&amp;IF(ISBLANK(box2metadata!$G40),"","["&amp;box2metadata!$G40&amp;"]"),"["&amp;box2metadata!$F40&amp;"]")&amp;""": """&amp;SUBSTITUTE(box2metadata!$I40,"""","\""")&amp;""",")</f>
        <v>"layout.field.label.Project.[oairecerif.internalid]": "Internal ID",</v>
      </c>
    </row>
    <row r="39" ht="14.25" customHeight="1">
      <c r="B39" s="20" t="str">
        <f>IF(ISBLANK(box2metadata!$I41),"",""""&amp;$A$2&amp;box2metadata!$A41&amp;"."&amp;IF(box2metadata!$E41="BITSTREAM","BITSTREAM"&amp;IF(ISBLANK(box2metadata!$G41),"","["&amp;box2metadata!$G41&amp;"]"),"["&amp;box2metadata!$F41&amp;"]")&amp;""": """&amp;SUBSTITUTE(box2metadata!$I41,"""","\""")&amp;""",")</f>
        <v>"layout.field.label.Project.[oairecerif.project.status]": "Status",</v>
      </c>
    </row>
    <row r="40" ht="14.25" customHeight="1">
      <c r="B40" s="20" t="str">
        <f>IF(ISBLANK(box2metadata!$I42),"",""""&amp;$A$2&amp;box2metadata!$A42&amp;"."&amp;IF(box2metadata!$E42="BITSTREAM","BITSTREAM"&amp;IF(ISBLANK(box2metadata!$G42),"","["&amp;box2metadata!$G42&amp;"]"),"["&amp;box2metadata!$F42&amp;"]")&amp;""": """&amp;SUBSTITUTE(box2metadata!$I42,"""","\""")&amp;""",")</f>
        <v>"layout.field.label.Project.[oairecerif.project.startDate]": "Start Date",</v>
      </c>
    </row>
    <row r="41" ht="14.25" customHeight="1">
      <c r="B41" s="20" t="str">
        <f>IF(ISBLANK(box2metadata!$I43),"",""""&amp;$A$2&amp;box2metadata!$A43&amp;"."&amp;IF(box2metadata!$E43="BITSTREAM","BITSTREAM"&amp;IF(ISBLANK(box2metadata!$G43),"","["&amp;box2metadata!$G43&amp;"]"),"["&amp;box2metadata!$F43&amp;"]")&amp;""": """&amp;SUBSTITUTE(box2metadata!$I43,"""","\""")&amp;""",")</f>
        <v>"layout.field.label.Project.[oairecerif.project.endDate]": "End Date",</v>
      </c>
    </row>
    <row r="42" ht="14.25" customHeight="1">
      <c r="B42" s="20" t="str">
        <f>IF(ISBLANK(box2metadata!$I44),"",""""&amp;$A$2&amp;box2metadata!$A44&amp;"."&amp;IF(box2metadata!$E44="BITSTREAM","BITSTREAM"&amp;IF(ISBLANK(box2metadata!$G44),"","["&amp;box2metadata!$G44&amp;"]"),"["&amp;box2metadata!$F44&amp;"]")&amp;""": """&amp;SUBSTITUTE(box2metadata!$I44,"""","\""")&amp;""",")</f>
        <v/>
      </c>
    </row>
    <row r="43" ht="14.25" customHeight="1">
      <c r="B43" s="20" t="str">
        <f>IF(ISBLANK(box2metadata!$I45),"",""""&amp;$A$2&amp;box2metadata!$A45&amp;"."&amp;IF(box2metadata!$E45="BITSTREAM","BITSTREAM"&amp;IF(ISBLANK(box2metadata!$G45),"","["&amp;box2metadata!$G45&amp;"]"),"["&amp;box2metadata!$F45&amp;"]")&amp;""": """&amp;SUBSTITUTE(box2metadata!$I45,"""","\""")&amp;""",")</f>
        <v>"layout.field.label.Funding.[dc.relation.project]": "Project",</v>
      </c>
    </row>
    <row r="44" ht="14.25" customHeight="1">
      <c r="B44" s="20" t="str">
        <f>IF(ISBLANK(box2metadata!$I46),"",""""&amp;$A$2&amp;box2metadata!$A46&amp;"."&amp;IF(box2metadata!$E46="BITSTREAM","BITSTREAM"&amp;IF(ISBLANK(box2metadata!$G46),"","["&amp;box2metadata!$G46&amp;"]"),"["&amp;box2metadata!$F46&amp;"]")&amp;""": """&amp;SUBSTITUTE(box2metadata!$I46,"""","\""")&amp;""",")</f>
        <v>"layout.field.label.Funding.[dc.type]": "Type",</v>
      </c>
    </row>
    <row r="45" ht="14.25" customHeight="1">
      <c r="B45" s="20" t="str">
        <f>IF(ISBLANK(box2metadata!$I47),"",""""&amp;$A$2&amp;box2metadata!$A47&amp;"."&amp;IF(box2metadata!$E47="BITSTREAM","BITSTREAM"&amp;IF(ISBLANK(box2metadata!$G47),"","["&amp;box2metadata!$G47&amp;"]"),"["&amp;box2metadata!$F47&amp;"]")&amp;""": """&amp;SUBSTITUTE(box2metadata!$I47,"""","\""")&amp;""",")</f>
        <v>"layout.field.label.Funding.[oairecerif.funder]": "Funder",</v>
      </c>
    </row>
    <row r="46" ht="14.25" customHeight="1">
      <c r="B46" s="20" t="str">
        <f>IF(ISBLANK(box2metadata!$I48),"",""""&amp;$A$2&amp;box2metadata!$A48&amp;"."&amp;IF(box2metadata!$E48="BITSTREAM","BITSTREAM"&amp;IF(ISBLANK(box2metadata!$G48),"","["&amp;box2metadata!$G48&amp;"]"),"["&amp;box2metadata!$F48&amp;"]")&amp;""": """&amp;SUBSTITUTE(box2metadata!$I48,"""","\""")&amp;""",")</f>
        <v>"layout.field.label.Funding.[oairecerif.fundingParent]": "Funding Program",</v>
      </c>
    </row>
    <row r="47" ht="14.25" customHeight="1">
      <c r="B47" s="20" t="str">
        <f>IF(ISBLANK(box2metadata!$I49),"",""""&amp;$A$2&amp;box2metadata!$A49&amp;"."&amp;IF(box2metadata!$E49="BITSTREAM","BITSTREAM"&amp;IF(ISBLANK(box2metadata!$G49),"","["&amp;box2metadata!$G49&amp;"]"),"["&amp;box2metadata!$F49&amp;"]")&amp;""": """&amp;SUBSTITUTE(box2metadata!$I49,"""","\""")&amp;""",")</f>
        <v>"layout.field.label.Funding.[oairecerif.identifier.url]": "Award URL",</v>
      </c>
    </row>
    <row r="48" ht="14.25" customHeight="1">
      <c r="B48" s="20" t="str">
        <f>IF(ISBLANK(box2metadata!$I50),"",""""&amp;$A$2&amp;box2metadata!$A50&amp;"."&amp;IF(box2metadata!$E50="BITSTREAM","BITSTREAM"&amp;IF(ISBLANK(box2metadata!$G50),"","["&amp;box2metadata!$G50&amp;"]"),"["&amp;box2metadata!$F50&amp;"]")&amp;""": """&amp;SUBSTITUTE(box2metadata!$I50,"""","\""")&amp;""",")</f>
        <v>"layout.field.label.Funding.[oairecerif.oamandate]": "OA Mandate",</v>
      </c>
    </row>
    <row r="49" ht="14.25" customHeight="1">
      <c r="B49" s="20" t="str">
        <f>IF(ISBLANK(box2metadata!$I51),"",""""&amp;$A$2&amp;box2metadata!$A51&amp;"."&amp;IF(box2metadata!$E51="BITSTREAM","BITSTREAM"&amp;IF(ISBLANK(box2metadata!$G51),"","["&amp;box2metadata!$G51&amp;"]"),"["&amp;box2metadata!$F51&amp;"]")&amp;""": """&amp;SUBSTITUTE(box2metadata!$I51,"""","\""")&amp;""",")</f>
        <v>"layout.field.label.Funding.[oairecerif.internalid]": "Funding code",</v>
      </c>
    </row>
    <row r="50" ht="14.25" customHeight="1">
      <c r="B50" s="20" t="str">
        <f>IF(ISBLANK(box2metadata!$I52),"",""""&amp;$A$2&amp;box2metadata!$A52&amp;"."&amp;IF(box2metadata!$E52="BITSTREAM","BITSTREAM"&amp;IF(ISBLANK(box2metadata!$G52),"","["&amp;box2metadata!$G52&amp;"]"),"["&amp;box2metadata!$F52&amp;"]")&amp;""": """&amp;SUBSTITUTE(box2metadata!$I52,"""","\""")&amp;""",")</f>
        <v>"layout.field.label.Funding.[oairecerif.amount]": "Amount",</v>
      </c>
    </row>
    <row r="51" ht="14.25" customHeight="1">
      <c r="B51" s="20" t="str">
        <f>IF(ISBLANK(box2metadata!$I53),"",""""&amp;$A$2&amp;box2metadata!$A53&amp;"."&amp;IF(box2metadata!$E53="BITSTREAM","BITSTREAM"&amp;IF(ISBLANK(box2metadata!$G53),"","["&amp;box2metadata!$G53&amp;"]"),"["&amp;box2metadata!$F53&amp;"]")&amp;""": """&amp;SUBSTITUTE(box2metadata!$I53,"""","\""")&amp;""",")</f>
        <v>"layout.field.label.Funding.[oairecerif.amount.currency]": "Currency",</v>
      </c>
    </row>
    <row r="52" ht="14.25" customHeight="1">
      <c r="B52" s="20" t="str">
        <f>IF(ISBLANK(box2metadata!$I54),"",""""&amp;$A$2&amp;box2metadata!$A54&amp;"."&amp;IF(box2metadata!$E54="BITSTREAM","BITSTREAM"&amp;IF(ISBLANK(box2metadata!$G54),"","["&amp;box2metadata!$G54&amp;"]"),"["&amp;box2metadata!$F54&amp;"]")&amp;""": """&amp;SUBSTITUTE(box2metadata!$I54,"""","\""")&amp;""",")</f>
        <v>"layout.field.label.Person.[dc.subject]": "Research Interests",</v>
      </c>
    </row>
    <row r="53" ht="14.25" customHeight="1">
      <c r="B53" s="20" t="str">
        <f>IF(ISBLANK(box2metadata!$I55),"",""""&amp;$A$2&amp;box2metadata!$A55&amp;"."&amp;IF(box2metadata!$E55="BITSTREAM","BITSTREAM"&amp;IF(ISBLANK(box2metadata!$G55),"","["&amp;box2metadata!$G55&amp;"]"),"["&amp;box2metadata!$F55&amp;"]")&amp;""": """&amp;SUBSTITUTE(box2metadata!$I55,"""","\""")&amp;""",")</f>
        <v>"layout.field.label.Person.[person.knowsLanguage]": "Knows Language",</v>
      </c>
    </row>
    <row r="54" ht="14.25" customHeight="1">
      <c r="B54" s="20" t="str">
        <f>IF(ISBLANK(box2metadata!$I56),"",""""&amp;$A$2&amp;box2metadata!$A56&amp;"."&amp;IF(box2metadata!$E56="BITSTREAM","BITSTREAM"&amp;IF(ISBLANK(box2metadata!$G56),"","["&amp;box2metadata!$G56&amp;"]"),"["&amp;box2metadata!$F56&amp;"]")&amp;""": """&amp;SUBSTITUTE(box2metadata!$I56,"""","\""")&amp;""",")</f>
        <v>"layout.field.label.Person.[crisrp.qualification]": "Qualification",</v>
      </c>
    </row>
    <row r="55" ht="14.25" customHeight="1">
      <c r="B55" s="20" t="str">
        <f>IF(ISBLANK(box2metadata!$I57),"",""""&amp;$A$2&amp;box2metadata!$A57&amp;"."&amp;IF(box2metadata!$E57="BITSTREAM","BITSTREAM"&amp;IF(ISBLANK(box2metadata!$G57),"","["&amp;box2metadata!$G57&amp;"]"),"["&amp;box2metadata!$F57&amp;"]")&amp;""": """&amp;SUBSTITUTE(box2metadata!$I57,"""","\""")&amp;""",")</f>
        <v/>
      </c>
    </row>
    <row r="56" ht="14.25" customHeight="1">
      <c r="B56" s="20" t="str">
        <f>IF(ISBLANK(#REF!),"",""""&amp;$A$2&amp;#REF!&amp;"."&amp;IF(#REF!="BITSTREAM","BITSTREAM"&amp;IF(ISBLANK(#REF!),"","["&amp;#REF!&amp;"]"),"["&amp;#REF!&amp;"]")&amp;""": """&amp;SUBSTITUTE(#REF!,"""","\""")&amp;""",")</f>
        <v>#REF!</v>
      </c>
    </row>
    <row r="57" ht="14.25" customHeight="1">
      <c r="B57" s="20" t="str">
        <f>IF(ISBLANK(box2metadata!$I58),"",""""&amp;$A$2&amp;box2metadata!$A58&amp;"."&amp;IF(box2metadata!$E58="BITSTREAM","BITSTREAM"&amp;IF(ISBLANK(box2metadata!$G58),"","["&amp;box2metadata!$G58&amp;"]"),"["&amp;box2metadata!$F58&amp;"]")&amp;""": """&amp;SUBSTITUTE(box2metadata!$I58,"""","\""")&amp;""",")</f>
        <v>"layout.field.label.Person.[dc.title]": "Preferred name",</v>
      </c>
    </row>
    <row r="58" ht="14.25" customHeight="1">
      <c r="B58" s="20" t="str">
        <f>IF(ISBLANK(box2metadata!$I59),"",""""&amp;$A$2&amp;box2metadata!$A59&amp;"."&amp;IF(box2metadata!$E59="BITSTREAM","BITSTREAM"&amp;IF(ISBLANK(box2metadata!$G59),"","["&amp;box2metadata!$G59&amp;"]"),"["&amp;box2metadata!$F59&amp;"]")&amp;""": """&amp;SUBSTITUTE(box2metadata!$I59,"""","\""")&amp;""",")</f>
        <v>"layout.field.label.Person.[crisrp.name]": "Official Name",</v>
      </c>
    </row>
    <row r="59" ht="14.25" customHeight="1">
      <c r="B59" s="20" t="str">
        <f>IF(ISBLANK(box2metadata!#REF!),"",""""&amp;$A$2&amp;box2metadata!#REF!&amp;"."&amp;IF(box2metadata!#REF!="BITSTREAM","BITSTREAM"&amp;IF(ISBLANK(box2metadata!#REF!),"","["&amp;box2metadata!#REF!&amp;"]"),"["&amp;box2metadata!#REF!&amp;"]")&amp;""": """&amp;SUBSTITUTE(box2metadata!#REF!,"""","\""")&amp;""",")</f>
        <v>#ERROR!</v>
      </c>
    </row>
    <row r="60" ht="14.25" customHeight="1">
      <c r="B60" s="20" t="str">
        <f>IF(ISBLANK(box2metadata!$I60),"",""""&amp;$A$2&amp;box2metadata!$A60&amp;"."&amp;IF(box2metadata!$E60="BITSTREAM","BITSTREAM"&amp;IF(ISBLANK(box2metadata!$G60),"","["&amp;box2metadata!$G60&amp;"]"),"["&amp;box2metadata!$F60&amp;"]")&amp;""": """&amp;SUBSTITUTE(box2metadata!$I60,"""","\""")&amp;""",")</f>
        <v>"layout.field.label.Person.[crisrp.name.variant]": "Alternative Name",</v>
      </c>
    </row>
    <row r="61" ht="14.25" customHeight="1">
      <c r="B61" s="20" t="str">
        <f>IF(ISBLANK(box2metadata!$I63),"",""""&amp;$A$2&amp;box2metadata!$A63&amp;"."&amp;IF(box2metadata!$E63="BITSTREAM","BITSTREAM"&amp;IF(ISBLANK(box2metadata!$G63),"","["&amp;box2metadata!$G63&amp;"]"),"["&amp;box2metadata!$F63&amp;"]")&amp;""": """&amp;SUBSTITUTE(box2metadata!$I63,"""","\""")&amp;""",")</f>
        <v>"layout.field.label.Person.[person.affiliation.name]": "Main Affiliation",</v>
      </c>
    </row>
    <row r="62" ht="14.25" customHeight="1">
      <c r="B62" s="20" t="str">
        <f>IF(ISBLANK(#REF!),"",""""&amp;$A$2&amp;#REF!&amp;"."&amp;IF(#REF!="BITSTREAM","BITSTREAM"&amp;IF(ISBLANK(#REF!),"","["&amp;#REF!&amp;"]"),"["&amp;#REF!&amp;"]")&amp;""": """&amp;SUBSTITUTE(#REF!,"""","\""")&amp;""",")</f>
        <v>#REF!</v>
      </c>
    </row>
    <row r="63" ht="14.25" customHeight="1">
      <c r="B63" s="20" t="str">
        <f>IF(ISBLANK(box2metadata!$I64),"",""""&amp;$A$2&amp;box2metadata!$A64&amp;"."&amp;IF(box2metadata!$E64="BITSTREAM","BITSTREAM"&amp;IF(ISBLANK(box2metadata!$G64),"","["&amp;box2metadata!$G64&amp;"]"),"["&amp;box2metadata!$F64&amp;"]")&amp;""": """&amp;SUBSTITUTE(box2metadata!$I64,"""","\""")&amp;""",")</f>
        <v>"layout.field.label.Person.[person.identifier.orcid]": "ORCID",</v>
      </c>
    </row>
    <row r="64" ht="14.25" customHeight="1">
      <c r="B64" s="20" t="str">
        <f>IF(ISBLANK(#REF!),"",""""&amp;$A$2&amp;#REF!&amp;"."&amp;IF(#REF!="BITSTREAM","BITSTREAM"&amp;IF(ISBLANK(#REF!),"","["&amp;#REF!&amp;"]"),"["&amp;#REF!&amp;"]")&amp;""": """&amp;SUBSTITUTE(#REF!,"""","\""")&amp;""",")</f>
        <v>#REF!</v>
      </c>
    </row>
    <row r="65" ht="14.25" customHeight="1">
      <c r="B65" s="20" t="str">
        <f>IF(ISBLANK(box2metadata!$I64),"",""""&amp;$A$2&amp;box2metadata!$A64&amp;"."&amp;IF(box2metadata!$E64="BITSTREAM","BITSTREAM"&amp;IF(ISBLANK(box2metadata!$G64),"","["&amp;box2metadata!$G64&amp;"]"),"["&amp;box2metadata!$F64&amp;"]")&amp;""": """&amp;SUBSTITUTE(box2metadata!$I64,"""","\""")&amp;""",")</f>
        <v>"layout.field.label.Person.[person.identifier.orcid]": "ORCID",</v>
      </c>
    </row>
    <row r="66" ht="14.25" customHeight="1">
      <c r="B66" s="20" t="str">
        <f>IF(ISBLANK(box2metadata!$I65),"",""""&amp;$A$2&amp;box2metadata!$A65&amp;"."&amp;IF(box2metadata!$E65="BITSTREAM","BITSTREAM"&amp;IF(ISBLANK(box2metadata!$G65),"","["&amp;box2metadata!$G65&amp;"]"),"["&amp;box2metadata!$F65&amp;"]")&amp;""": """&amp;SUBSTITUTE(box2metadata!$I65,"""","\""")&amp;""",")</f>
        <v>"layout.field.label.Person.[person.identifier.scopus-author-id]": "Scopus Author ID",</v>
      </c>
    </row>
    <row r="67" ht="14.25" customHeight="1">
      <c r="B67" s="20" t="str">
        <f>IF(ISBLANK(box2metadata!$I66),"",""""&amp;$A$2&amp;box2metadata!$A66&amp;"."&amp;IF(box2metadata!$E66="BITSTREAM","BITSTREAM"&amp;IF(ISBLANK(box2metadata!$G66),"","["&amp;box2metadata!$G66&amp;"]"),"["&amp;box2metadata!$F66&amp;"]")&amp;""": """&amp;SUBSTITUTE(box2metadata!$I66,"""","\""")&amp;""",")</f>
        <v>"layout.field.label.Person.[person.identifier.rid]": "Researcher ID",</v>
      </c>
    </row>
    <row r="68" ht="14.25" customHeight="1">
      <c r="B68" s="20" t="str">
        <f>IF(ISBLANK(box2metadata!$I67),"",""""&amp;$A$2&amp;box2metadata!$A67&amp;"."&amp;IF(box2metadata!$E67="BITSTREAM","BITSTREAM"&amp;IF(ISBLANK(box2metadata!$G67),"","["&amp;box2metadata!$G67&amp;"]"),"["&amp;box2metadata!$F67&amp;"]")&amp;""": """&amp;SUBSTITUTE(box2metadata!$I67,"""","\""")&amp;""",")</f>
        <v>"layout.field.label.Person.[dc.description.abstract]": "Biography",</v>
      </c>
    </row>
    <row r="69" ht="14.25" customHeight="1">
      <c r="B69" s="20" t="str">
        <f>IF(ISBLANK(box2metadata!$I68),"",""""&amp;$A$2&amp;box2metadata!$A68&amp;"."&amp;IF(box2metadata!$E68="BITSTREAM","BITSTREAM"&amp;IF(ISBLANK(box2metadata!$G68),"","["&amp;box2metadata!$G68&amp;"]"),"["&amp;box2metadata!$F68&amp;"]")&amp;""": """&amp;SUBSTITUTE(box2metadata!$I68,"""","\""")&amp;""",")</f>
        <v>"layout.field.label.Person.[oairecerif.person.affiliation]": "Affiliation",</v>
      </c>
    </row>
    <row r="70" ht="14.25" customHeight="1">
      <c r="B70" s="20" t="str">
        <f>IF(ISBLANK(box2metadata!$I69),"",""""&amp;$A$2&amp;box2metadata!$A69&amp;"."&amp;IF(box2metadata!$E69="BITSTREAM","BITSTREAM"&amp;IF(ISBLANK(box2metadata!$G69),"","["&amp;box2metadata!$G69&amp;"]"),"["&amp;box2metadata!$F69&amp;"]")&amp;""": """&amp;SUBSTITUTE(box2metadata!$I69,"""","\""")&amp;""",")</f>
        <v>"layout.field.label.Person.[crisrp.education]": "Education",</v>
      </c>
    </row>
    <row r="71" ht="14.25" customHeight="1">
      <c r="B71" s="20" t="str">
        <f>IF(ISBLANK(box2metadata!$I70),"",""""&amp;$A$2&amp;box2metadata!$A70&amp;"."&amp;IF(box2metadata!$E70="BITSTREAM","BITSTREAM"&amp;IF(ISBLANK(box2metadata!$G70),"","["&amp;box2metadata!$G70&amp;"]"),"["&amp;box2metadata!$F70&amp;"]")&amp;""": """&amp;SUBSTITUTE(box2metadata!$I70,"""","\""")&amp;""",")</f>
        <v>"layout.field.label.Person.[crisrp.qualification]": "Qualification",</v>
      </c>
    </row>
    <row r="72" ht="14.25" customHeight="1">
      <c r="B72" s="20" t="str">
        <f>IF(ISBLANK(box2metadata!$I71),"",""""&amp;$A$2&amp;box2metadata!$A71&amp;"."&amp;IF(box2metadata!$E71="BITSTREAM","BITSTREAM"&amp;IF(ISBLANK(box2metadata!$G71),"","["&amp;box2metadata!$G71&amp;"]"),"["&amp;box2metadata!$F71&amp;"]")&amp;""": """&amp;SUBSTITUTE(box2metadata!$I71,"""","\""")&amp;""",")</f>
        <v>"layout.field.label.Person.[crisrp.country]": "Country",</v>
      </c>
    </row>
    <row r="73" ht="14.25" customHeight="1">
      <c r="B73" s="20" t="str">
        <f>IF(ISBLANK(box2metadata!$I72),"",""""&amp;$A$2&amp;box2metadata!$A72&amp;"."&amp;IF(box2metadata!$E72="BITSTREAM","BITSTREAM"&amp;IF(ISBLANK(box2metadata!$G72),"","["&amp;box2metadata!$G72&amp;"]"),"["&amp;box2metadata!$F72&amp;"]")&amp;""": """&amp;SUBSTITUTE(box2metadata!$I72,"""","\""")&amp;""",")</f>
        <v/>
      </c>
    </row>
    <row r="74" ht="14.25" customHeight="1">
      <c r="B74" s="20" t="str">
        <f>IF(ISBLANK(box2metadata!$I73),"",""""&amp;$A$2&amp;box2metadata!$A73&amp;"."&amp;IF(box2metadata!$E73="BITSTREAM","BITSTREAM"&amp;IF(ISBLANK(box2metadata!$G73),"","["&amp;box2metadata!$G73&amp;"]"),"["&amp;box2metadata!$F73&amp;"]")&amp;""": """&amp;SUBSTITUTE(box2metadata!$I73,"""","\""")&amp;""",")</f>
        <v>"layout.field.label.Person.[person.birthDate]": "Birth Date",</v>
      </c>
    </row>
    <row r="75" ht="14.25" customHeight="1">
      <c r="B75" s="20" t="str">
        <f>IF(ISBLANK(box2metadata!$I74),"",""""&amp;$A$2&amp;box2metadata!$A74&amp;"."&amp;IF(box2metadata!$E74="BITSTREAM","BITSTREAM"&amp;IF(ISBLANK(box2metadata!$G74),"","["&amp;box2metadata!$G74&amp;"]"),"["&amp;box2metadata!$F74&amp;"]")&amp;""": """&amp;SUBSTITUTE(box2metadata!$I74,"""","\""")&amp;""",")</f>
        <v/>
      </c>
    </row>
    <row r="76" ht="14.25" customHeight="1">
      <c r="B76" s="20" t="str">
        <f>IF(ISBLANK(box2metadata!$I75),"",""""&amp;$A$2&amp;box2metadata!$A75&amp;"."&amp;IF(box2metadata!$E75="BITSTREAM","BITSTREAM"&amp;IF(ISBLANK(box2metadata!$G75),"","["&amp;box2metadata!$G75&amp;"]"),"["&amp;box2metadata!$F75&amp;"]")&amp;""": """&amp;SUBSTITUTE(box2metadata!$I75,"""","\""")&amp;""",")</f>
        <v>"layout.field.label.Journal.[dc.title]": "Journal Title",</v>
      </c>
    </row>
    <row r="77" ht="14.25" customHeight="1">
      <c r="B77" s="20" t="str">
        <f>IF(ISBLANK(box2metadata!$I76),"",""""&amp;$A$2&amp;box2metadata!$A76&amp;"."&amp;IF(box2metadata!$E76="BITSTREAM","BITSTREAM"&amp;IF(ISBLANK(box2metadata!$G76),"","["&amp;box2metadata!$G76&amp;"]"),"["&amp;box2metadata!$F76&amp;"]")&amp;""": """&amp;SUBSTITUTE(box2metadata!$I76,"""","\""")&amp;""",")</f>
        <v>"layout.field.label.Journal.[dc.subject]": "Keywords",</v>
      </c>
    </row>
    <row r="78" ht="14.25" customHeight="1">
      <c r="B78" s="20" t="str">
        <f>IF(ISBLANK(box2metadata!$I77),"",""""&amp;$A$2&amp;box2metadata!$A77&amp;"."&amp;IF(box2metadata!$E77="BITSTREAM","BITSTREAM"&amp;IF(ISBLANK(box2metadata!$G77),"","["&amp;box2metadata!$G77&amp;"]"),"["&amp;box2metadata!$F77&amp;"]")&amp;""": """&amp;SUBSTITUTE(box2metadata!$I77,"""","\""")&amp;""",")</f>
        <v>"layout.field.label.Journal.[dc.identifier.issn]": "ISSN",</v>
      </c>
    </row>
    <row r="79" ht="14.25" customHeight="1">
      <c r="B79" s="20" t="str">
        <f>IF(ISBLANK(box2metadata!$I78),"",""""&amp;$A$2&amp;box2metadata!$A78&amp;"."&amp;IF(box2metadata!$E78="BITSTREAM","BITSTREAM"&amp;IF(ISBLANK(box2metadata!$G78),"","["&amp;box2metadata!$G78&amp;"]"),"["&amp;box2metadata!$F78&amp;"]")&amp;""": """&amp;SUBSTITUTE(box2metadata!$I78,"""","\""")&amp;""",")</f>
        <v/>
      </c>
    </row>
    <row r="80" ht="14.25" customHeight="1">
      <c r="B80" s="20" t="str">
        <f>IF(ISBLANK(box2metadata!$I79),"",""""&amp;$A$2&amp;box2metadata!$A79&amp;"."&amp;IF(box2metadata!$E79="BITSTREAM","BITSTREAM"&amp;IF(ISBLANK(box2metadata!$G79),"","["&amp;box2metadata!$G79&amp;"]"),"["&amp;box2metadata!$F79&amp;"]")&amp;""": """&amp;SUBSTITUTE(box2metadata!$I79,"""","\""")&amp;""",")</f>
        <v>"layout.field.label.Event.[dc.title]": "Title",</v>
      </c>
    </row>
    <row r="81" ht="14.25" customHeight="1">
      <c r="B81" s="20" t="str">
        <f>IF(ISBLANK(box2metadata!$I80),"",""""&amp;$A$2&amp;box2metadata!$A80&amp;"."&amp;IF(box2metadata!$E80="BITSTREAM","BITSTREAM"&amp;IF(ISBLANK(box2metadata!$G80),"","["&amp;box2metadata!$G80&amp;"]"),"["&amp;box2metadata!$F80&amp;"]")&amp;""": """&amp;SUBSTITUTE(box2metadata!$I80,"""","\""")&amp;""",")</f>
        <v>"layout.field.label.Event.[oairecerif.event.startDate]": "Start Date",</v>
      </c>
    </row>
    <row r="82" ht="14.25" customHeight="1">
      <c r="B82" s="20" t="str">
        <f>IF(ISBLANK(box2metadata!$I81),"",""""&amp;$A$2&amp;box2metadata!$A81&amp;"."&amp;IF(box2metadata!$E81="BITSTREAM","BITSTREAM"&amp;IF(ISBLANK(box2metadata!$G81),"","["&amp;box2metadata!$G81&amp;"]"),"["&amp;box2metadata!$F81&amp;"]")&amp;""": """&amp;SUBSTITUTE(box2metadata!$I81,"""","\""")&amp;""",")</f>
        <v>"layout.field.label.Event.[oairecerif.event.endDate]": "End Date",</v>
      </c>
    </row>
    <row r="83" ht="14.25" customHeight="1">
      <c r="B83" s="20" t="str">
        <f>IF(ISBLANK(box2metadata!$I82),"",""""&amp;$A$2&amp;box2metadata!$A82&amp;"."&amp;IF(box2metadata!$E82="BITSTREAM","BITSTREAM"&amp;IF(ISBLANK(box2metadata!$G82),"","["&amp;box2metadata!$G82&amp;"]"),"["&amp;box2metadata!$F82&amp;"]")&amp;""": """&amp;SUBSTITUTE(box2metadata!$I82,"""","\""")&amp;""",")</f>
        <v>"layout.field.label.Event.[oairecerif.event.place]": "Location",</v>
      </c>
    </row>
    <row r="84" ht="14.25" customHeight="1">
      <c r="B84" s="20" t="str">
        <f>IF(ISBLANK(box2metadata!$I83),"",""""&amp;$A$2&amp;box2metadata!$A83&amp;"."&amp;IF(box2metadata!$E83="BITSTREAM","BITSTREAM"&amp;IF(ISBLANK(box2metadata!$G83),"","["&amp;box2metadata!$G83&amp;"]"),"["&amp;box2metadata!$F83&amp;"]")&amp;""": """&amp;SUBSTITUTE(box2metadata!$I83,"""","\""")&amp;""",")</f>
        <v>"layout.field.label.Event.[dc.type]": "Type",</v>
      </c>
    </row>
    <row r="85" ht="14.25" customHeight="1">
      <c r="B85" s="20" t="str">
        <f>IF(ISBLANK(box2metadata!$I84),"",""""&amp;$A$2&amp;box2metadata!$A84&amp;"."&amp;IF(box2metadata!$E84="BITSTREAM","BITSTREAM"&amp;IF(ISBLANK(box2metadata!$G84),"","["&amp;box2metadata!$G84&amp;"]"),"["&amp;box2metadata!$F84&amp;"]")&amp;""": """&amp;SUBSTITUTE(box2metadata!$I84,"""","\""")&amp;""",")</f>
        <v>"layout.field.label.Event.[crisevent.organizerou]": "Organizer",</v>
      </c>
    </row>
    <row r="86" ht="14.25" customHeight="1">
      <c r="B86" s="20" t="str">
        <f>IF(ISBLANK(box2metadata!$I85),"",""""&amp;$A$2&amp;box2metadata!$A85&amp;"."&amp;IF(box2metadata!$E85="BITSTREAM","BITSTREAM"&amp;IF(ISBLANK(box2metadata!$G85),"","["&amp;box2metadata!$G85&amp;"]"),"["&amp;box2metadata!$F85&amp;"]")&amp;""": """&amp;SUBSTITUTE(box2metadata!$I85,"""","\""")&amp;""",")</f>
        <v>"layout.field.label.Event.[crisevent.organizerpj]": "Organizer",</v>
      </c>
    </row>
    <row r="87" ht="14.25" customHeight="1">
      <c r="B87" s="20" t="str">
        <f>IF(ISBLANK(box2metadata!$I86),"",""""&amp;$A$2&amp;box2metadata!$A86&amp;"."&amp;IF(box2metadata!$E86="BITSTREAM","BITSTREAM"&amp;IF(ISBLANK(box2metadata!$G86),"","["&amp;box2metadata!$G86&amp;"]"),"["&amp;box2metadata!$F86&amp;"]")&amp;""": """&amp;SUBSTITUTE(box2metadata!$I86,"""","\""")&amp;""",")</f>
        <v>"layout.field.label.Event.[crisevent.sponsorou]": "Sponsor",</v>
      </c>
    </row>
    <row r="88" ht="14.25" customHeight="1">
      <c r="B88" s="20" t="str">
        <f>IF(ISBLANK(box2metadata!$I87),"",""""&amp;$A$2&amp;box2metadata!$A87&amp;"."&amp;IF(box2metadata!$E87="BITSTREAM","BITSTREAM"&amp;IF(ISBLANK(box2metadata!$G87),"","["&amp;box2metadata!$G87&amp;"]"),"["&amp;box2metadata!$F87&amp;"]")&amp;""": """&amp;SUBSTITUTE(box2metadata!$I87,"""","\""")&amp;""",")</f>
        <v>"layout.field.label.Event.[crisevent.sponsorpj]": "Sponsor",</v>
      </c>
    </row>
    <row r="89" ht="14.25" customHeight="1">
      <c r="B89" s="20" t="str">
        <f>IF(ISBLANK(box2metadata!$I88),"",""""&amp;$A$2&amp;box2metadata!$A88&amp;"."&amp;IF(box2metadata!$E88="BITSTREAM","BITSTREAM"&amp;IF(ISBLANK(box2metadata!$G88),"","["&amp;box2metadata!$G88&amp;"]"),"["&amp;box2metadata!$F88&amp;"]")&amp;""": """&amp;SUBSTITUTE(box2metadata!$I88,"""","\""")&amp;""",")</f>
        <v>"layout.field.label.Event.[crisevent.partnerou]": "Partner Organisation",</v>
      </c>
    </row>
    <row r="90" ht="14.25" customHeight="1">
      <c r="B90" s="20" t="str">
        <f>IF(ISBLANK(box2metadata!$I89),"",""""&amp;$A$2&amp;box2metadata!$A89&amp;"."&amp;IF(box2metadata!$E89="BITSTREAM","BITSTREAM"&amp;IF(ISBLANK(box2metadata!$G89),"","["&amp;box2metadata!$G89&amp;"]"),"["&amp;box2metadata!$F89&amp;"]")&amp;""": """&amp;SUBSTITUTE(box2metadata!$I89,"""","\""")&amp;""",")</f>
        <v>"layout.field.label.Event.[crisevent.partnerpj]": "Partner Project",</v>
      </c>
    </row>
    <row r="91" ht="14.25" customHeight="1">
      <c r="B91" s="20" t="str">
        <f>IF(ISBLANK(box2metadata!$I90),"",""""&amp;$A$2&amp;box2metadata!$A90&amp;"."&amp;IF(box2metadata!$E90="BITSTREAM","BITSTREAM"&amp;IF(ISBLANK(box2metadata!$G90),"","["&amp;box2metadata!$G90&amp;"]"),"["&amp;box2metadata!$F90&amp;"]")&amp;""": """&amp;SUBSTITUTE(box2metadata!$I90,"""","\""")&amp;""",")</f>
        <v>"layout.field.label.Event.[oairecerif.acronym]": "Acronym",</v>
      </c>
    </row>
    <row r="92" ht="14.25" customHeight="1">
      <c r="B92" s="20" t="str">
        <f>IF(ISBLANK(box2metadata!$I91),"",""""&amp;$A$2&amp;box2metadata!$A91&amp;"."&amp;IF(box2metadata!$E91="BITSTREAM","BITSTREAM"&amp;IF(ISBLANK(box2metadata!$G91),"","["&amp;box2metadata!$G91&amp;"]"),"["&amp;box2metadata!$F91&amp;"]")&amp;""": """&amp;SUBSTITUTE(box2metadata!$I91,"""","\""")&amp;""",")</f>
        <v>"layout.field.label.Event.[dc.description.abstract]": "Abstract",</v>
      </c>
    </row>
    <row r="93" ht="14.25" customHeight="1">
      <c r="B93" s="20" t="str">
        <f>IF(ISBLANK(box2metadata!$I92),"",""""&amp;$A$2&amp;box2metadata!$A92&amp;"."&amp;IF(box2metadata!$E92="BITSTREAM","BITSTREAM"&amp;IF(ISBLANK(box2metadata!$G92),"","["&amp;box2metadata!$G92&amp;"]"),"["&amp;box2metadata!$F92&amp;"]")&amp;""": """&amp;SUBSTITUTE(box2metadata!$I92,"""","\""")&amp;""",")</f>
        <v>"layout.field.label.Event.[dc.subject]": "Keywords",</v>
      </c>
    </row>
    <row r="94" ht="14.25" customHeight="1">
      <c r="B94" s="20" t="str">
        <f>IF(ISBLANK(box2metadata!$I93),"",""""&amp;$A$2&amp;box2metadata!$A93&amp;"."&amp;IF(box2metadata!$E93="BITSTREAM","BITSTREAM"&amp;IF(ISBLANK(box2metadata!$G93),"","["&amp;box2metadata!$G93&amp;"]"),"["&amp;box2metadata!$F93&amp;"]")&amp;""": """&amp;SUBSTITUTE(box2metadata!$I93,"""","\""")&amp;""",")</f>
        <v>"layout.field.label.Event.[oairecerif.event.country]": "Country",</v>
      </c>
    </row>
    <row r="95" ht="14.25" customHeight="1">
      <c r="B95" s="20" t="str">
        <f>IF(ISBLANK(box2metadata!$I94),"",""""&amp;$A$2&amp;box2metadata!$A94&amp;"."&amp;IF(box2metadata!$E94="BITSTREAM","BITSTREAM"&amp;IF(ISBLANK(box2metadata!$G94),"","["&amp;box2metadata!$G94&amp;"]"),"["&amp;box2metadata!$F94&amp;"]")&amp;""": """&amp;SUBSTITUTE(box2metadata!$I94,"""","\""")&amp;""",")</f>
        <v>"layout.field.label.Equipment.[oairecerif.acronym]": "Acronym",</v>
      </c>
    </row>
    <row r="96" ht="14.25" customHeight="1">
      <c r="B96" s="20" t="str">
        <f>IF(ISBLANK(box2metadata!$I95),"",""""&amp;$A$2&amp;box2metadata!$A95&amp;"."&amp;IF(box2metadata!$E95="BITSTREAM","BITSTREAM"&amp;IF(ISBLANK(box2metadata!$G95),"","["&amp;box2metadata!$G95&amp;"]"),"["&amp;box2metadata!$F95&amp;"]")&amp;""": """&amp;SUBSTITUTE(box2metadata!$I95,"""","\""")&amp;""",")</f>
        <v>"layout.field.label.Equipment.[dc.description]": "Description",</v>
      </c>
    </row>
    <row r="97" ht="14.25" customHeight="1">
      <c r="B97" s="20" t="str">
        <f>IF(ISBLANK(box2metadata!$I96),"",""""&amp;$A$2&amp;box2metadata!$A96&amp;"."&amp;IF(box2metadata!$E96="BITSTREAM","BITSTREAM"&amp;IF(ISBLANK(box2metadata!$G96),"","["&amp;box2metadata!$G96&amp;"]"),"["&amp;box2metadata!$F96&amp;"]")&amp;""": """&amp;SUBSTITUTE(box2metadata!$I96,"""","\""")&amp;""",")</f>
        <v>"layout.field.label.Equipment.[oairecerif.internalid]": "Internal ID",</v>
      </c>
    </row>
    <row r="98" ht="14.25" customHeight="1">
      <c r="B98" s="20" t="str">
        <f>IF(ISBLANK(box2metadata!$I97),"",""""&amp;$A$2&amp;box2metadata!$A97&amp;"."&amp;IF(box2metadata!$E97="BITSTREAM","BITSTREAM"&amp;IF(ISBLANK(box2metadata!$G97),"","["&amp;box2metadata!$G97&amp;"]"),"["&amp;box2metadata!$F97&amp;"]")&amp;""": """&amp;SUBSTITUTE(box2metadata!$I97,"""","\""")&amp;""",")</f>
        <v>"layout.field.label.Equipment.[dc.title]": "Name",</v>
      </c>
    </row>
    <row r="99" ht="14.25" customHeight="1">
      <c r="B99" s="20" t="str">
        <f>IF(ISBLANK(box2metadata!$I98),"",""""&amp;$A$2&amp;box2metadata!$A98&amp;"."&amp;IF(box2metadata!$E98="BITSTREAM","BITSTREAM"&amp;IF(ISBLANK(box2metadata!$G98),"","["&amp;box2metadata!$G98&amp;"]"),"["&amp;box2metadata!$F98&amp;"]")&amp;""": """&amp;SUBSTITUTE(box2metadata!$I98,"""","\""")&amp;""",")</f>
        <v>"layout.field.label.Equipment.[crisequipment.ownerou]": "Owner Organisation",</v>
      </c>
    </row>
    <row r="100" ht="14.25" customHeight="1">
      <c r="B100" s="20" t="str">
        <f>IF(ISBLANK(box2metadata!$I100),"",""""&amp;$A$2&amp;box2metadata!$A100&amp;"."&amp;IF(box2metadata!$E100="BITSTREAM","BITSTREAM"&amp;IF(ISBLANK(box2metadata!$G100),"","["&amp;box2metadata!$G100&amp;"]"),"["&amp;box2metadata!$F100&amp;"]")&amp;""": """&amp;SUBSTITUTE(box2metadata!$I100,"""","\""")&amp;""",")</f>
        <v/>
      </c>
    </row>
    <row r="101" ht="14.25" customHeight="1">
      <c r="B101" s="20" t="str">
        <f>IF(ISBLANK(box2metadata!$I103),"",""""&amp;$A$2&amp;box2metadata!$A103&amp;"."&amp;IF(box2metadata!$E103="BITSTREAM","BITSTREAM"&amp;IF(ISBLANK(box2metadata!$G103),"","["&amp;box2metadata!$G103&amp;"]"),"["&amp;box2metadata!$F103&amp;"]")&amp;""": """&amp;SUBSTITUTE(box2metadata!$I103,"""","\""")&amp;""",")</f>
        <v/>
      </c>
    </row>
    <row r="102" ht="14.25" customHeight="1">
      <c r="B102" s="20" t="str">
        <f>IF(ISBLANK(box2metadata!$I105),"",""""&amp;$A$2&amp;box2metadata!$A105&amp;"."&amp;IF(box2metadata!$E105="BITSTREAM","BITSTREAM"&amp;IF(ISBLANK(box2metadata!$G105),"","["&amp;box2metadata!$G105&amp;"]"),"["&amp;box2metadata!$F105&amp;"]")&amp;""": """&amp;SUBSTITUTE(box2metadata!$I105,"""","\""")&amp;""",")</f>
        <v>"layout.field.label.Publication.[dc.relation.journal]": "Journal",</v>
      </c>
    </row>
    <row r="103" ht="14.25" customHeight="1">
      <c r="B103" s="20" t="str">
        <f>IF(ISBLANK(box2metadata!$I113),"",""""&amp;$A$2&amp;box2metadata!$A113&amp;"."&amp;IF(box2metadata!$E113="BITSTREAM","BITSTREAM"&amp;IF(ISBLANK(box2metadata!$G113),"","["&amp;box2metadata!$G113&amp;"]"),"["&amp;box2metadata!$F113&amp;"]")&amp;""": """&amp;SUBSTITUTE(box2metadata!$I113,"""","\""")&amp;""",")</f>
        <v>"layout.field.label.Publication.BITSTREAM": "File(s)",</v>
      </c>
    </row>
    <row r="104" ht="14.25" customHeight="1">
      <c r="B104" s="20" t="str">
        <f>IF(ISBLANK(box2metadata!$I119),"",""""&amp;$A$2&amp;box2metadata!$A119&amp;"."&amp;IF(box2metadata!$E119="BITSTREAM","BITSTREAM"&amp;IF(ISBLANK(box2metadata!$G119),"","["&amp;box2metadata!$G119&amp;"]"),"["&amp;box2metadata!$F119&amp;"]")&amp;""": """&amp;SUBSTITUTE(box2metadata!$I119,"""","\""")&amp;""",")</f>
        <v>"layout.field.label.Product.[dc.title]": "Title",</v>
      </c>
    </row>
    <row r="105" ht="14.25" customHeight="1">
      <c r="B105" s="20" t="str">
        <f>IF(ISBLANK(box2metadata!$I120),"",""""&amp;$A$2&amp;box2metadata!$A120&amp;"."&amp;IF(box2metadata!$E120="BITSTREAM","BITSTREAM"&amp;IF(ISBLANK(box2metadata!$G120),"","["&amp;box2metadata!$G120&amp;"]"),"["&amp;box2metadata!$F120&amp;"]")&amp;""": """&amp;SUBSTITUTE(box2metadata!$I120,"""","\""")&amp;""",")</f>
        <v>"layout.field.label.Product.[dc.relation.ispartof]": "Journal",</v>
      </c>
    </row>
    <row r="106" ht="14.25" customHeight="1">
      <c r="B106" s="20" t="str">
        <f>IF(ISBLANK(box2metadata!$I104),"",""""&amp;$A$2&amp;box2metadata!$A104&amp;"."&amp;IF(box2metadata!$E104="BITSTREAM","BITSTREAM"&amp;IF(ISBLANK(box2metadata!$G104),"","["&amp;box2metadata!$G104&amp;"]"),"["&amp;box2metadata!$F104&amp;"]")&amp;""": """&amp;SUBSTITUTE(box2metadata!$I104,"""","\""")&amp;""",")</f>
        <v>"layout.field.label.Publication.[dc.identifier.doi]": "DOI",</v>
      </c>
    </row>
    <row r="107" ht="14.25" customHeight="1">
      <c r="B107" s="20" t="str">
        <f>IF(ISBLANK(box2metadata!$I105),"",""""&amp;$A$2&amp;box2metadata!$A105&amp;"."&amp;IF(box2metadata!$E105="BITSTREAM","BITSTREAM"&amp;IF(ISBLANK(box2metadata!$G105),"","["&amp;box2metadata!$G105&amp;"]"),"["&amp;box2metadata!$F105&amp;"]")&amp;""": """&amp;SUBSTITUTE(box2metadata!$I105,"""","\""")&amp;""",")</f>
        <v>"layout.field.label.Publication.[dc.relation.journal]": "Journal",</v>
      </c>
    </row>
    <row r="108" ht="14.25" customHeight="1">
      <c r="B108" s="20" t="str">
        <f>IF(ISBLANK(box2metadata!$I113),"",""""&amp;$A$2&amp;box2metadata!$A113&amp;"."&amp;IF(box2metadata!$E113="BITSTREAM","BITSTREAM"&amp;IF(ISBLANK(box2metadata!$G113),"","["&amp;box2metadata!$G113&amp;"]"),"["&amp;box2metadata!$F113&amp;"]")&amp;""": """&amp;SUBSTITUTE(box2metadata!$I113,"""","\""")&amp;""",")</f>
        <v>"layout.field.label.Publication.BITSTREAM": "File(s)",</v>
      </c>
    </row>
    <row r="109" ht="14.25" customHeight="1">
      <c r="B109" s="20" t="str">
        <f>IF(ISBLANK(box2metadata!$I119),"",""""&amp;$A$2&amp;box2metadata!$A119&amp;"."&amp;IF(box2metadata!$E119="BITSTREAM","BITSTREAM"&amp;IF(ISBLANK(box2metadata!$G119),"","["&amp;box2metadata!$G119&amp;"]"),"["&amp;box2metadata!$F119&amp;"]")&amp;""": """&amp;SUBSTITUTE(box2metadata!$I119,"""","\""")&amp;""",")</f>
        <v>"layout.field.label.Product.[dc.title]": "Title",</v>
      </c>
    </row>
    <row r="110" ht="14.25" customHeight="1">
      <c r="B110" s="20" t="str">
        <f>IF(ISBLANK(box2metadata!$I120),"",""""&amp;$A$2&amp;box2metadata!$A120&amp;"."&amp;IF(box2metadata!$E120="BITSTREAM","BITSTREAM"&amp;IF(ISBLANK(box2metadata!$G120),"","["&amp;box2metadata!$G120&amp;"]"),"["&amp;box2metadata!$F120&amp;"]")&amp;""": """&amp;SUBSTITUTE(box2metadata!$I120,"""","\""")&amp;""",")</f>
        <v>"layout.field.label.Product.[dc.relation.ispartof]": "Journal",</v>
      </c>
    </row>
    <row r="111" ht="14.25" customHeight="1">
      <c r="B111" s="20" t="str">
        <f>IF(ISBLANK(box2metadata!$I113),"",""""&amp;$A$2&amp;box2metadata!$A113&amp;"."&amp;IF(box2metadata!$E113="BITSTREAM","BITSTREAM"&amp;IF(ISBLANK(box2metadata!$G113),"","["&amp;box2metadata!$G113&amp;"]"),"["&amp;box2metadata!$F113&amp;"]")&amp;""": """&amp;SUBSTITUTE(box2metadata!$I113,"""","\""")&amp;""",")</f>
        <v>"layout.field.label.Publication.BITSTREAM": "File(s)",</v>
      </c>
    </row>
    <row r="112" ht="14.25" customHeight="1">
      <c r="B112" s="20" t="str">
        <f>IF(ISBLANK(box2metadata!$I119),"",""""&amp;$A$2&amp;box2metadata!$A119&amp;"."&amp;IF(box2metadata!$E119="BITSTREAM","BITSTREAM"&amp;IF(ISBLANK(box2metadata!$G119),"","["&amp;box2metadata!$G119&amp;"]"),"["&amp;box2metadata!$F119&amp;"]")&amp;""": """&amp;SUBSTITUTE(box2metadata!$I119,"""","\""")&amp;""",")</f>
        <v>"layout.field.label.Product.[dc.title]": "Title",</v>
      </c>
    </row>
    <row r="113" ht="14.25" customHeight="1">
      <c r="B113" s="20" t="str">
        <f>IF(ISBLANK(box2metadata!$I120),"",""""&amp;$A$2&amp;box2metadata!$A120&amp;"."&amp;IF(box2metadata!$E120="BITSTREAM","BITSTREAM"&amp;IF(ISBLANK(box2metadata!$G120),"","["&amp;box2metadata!$G120&amp;"]"),"["&amp;box2metadata!$F120&amp;"]")&amp;""": """&amp;SUBSTITUTE(box2metadata!$I120,"""","\""")&amp;""",")</f>
        <v>"layout.field.label.Product.[dc.relation.ispartof]": "Journal",</v>
      </c>
    </row>
    <row r="114" ht="14.25" customHeight="1">
      <c r="B114" s="20" t="str">
        <f>IF(ISBLANK(box2metadata!$I121),"",""""&amp;$A$2&amp;box2metadata!$A121&amp;"."&amp;IF(box2metadata!$E121="BITSTREAM","BITSTREAM"&amp;IF(ISBLANK(box2metadata!$G121),"","["&amp;box2metadata!$G121&amp;"]"),"["&amp;box2metadata!$F121&amp;"]")&amp;""": """&amp;SUBSTITUTE(box2metadata!$I121,"""","\""")&amp;""",")</f>
        <v>"layout.field.label.Product.[dc.relation.issn]": "ISSN",</v>
      </c>
    </row>
    <row r="115" ht="14.25" customHeight="1">
      <c r="B115" s="20" t="str">
        <f>IF(ISBLANK(box2metadata!$I122),"",""""&amp;$A$2&amp;box2metadata!$A122&amp;"."&amp;IF(box2metadata!$E122="BITSTREAM","BITSTREAM"&amp;IF(ISBLANK(box2metadata!$G122),"","["&amp;box2metadata!$G122&amp;"]"),"["&amp;box2metadata!$F122&amp;"]")&amp;""": """&amp;SUBSTITUTE(box2metadata!$I122,"""","\""")&amp;""",")</f>
        <v>"layout.field.label.Product.[dc.date.issued]": "Date Issued",</v>
      </c>
    </row>
    <row r="116" ht="14.25" customHeight="1">
      <c r="B116" s="20" t="str">
        <f>IF(ISBLANK(box2metadata!$I123),"",""""&amp;$A$2&amp;box2metadata!$A123&amp;"."&amp;IF(box2metadata!$E123="BITSTREAM","BITSTREAM"&amp;IF(ISBLANK(box2metadata!$G123),"","["&amp;box2metadata!$G123&amp;"]"),"["&amp;box2metadata!$F123&amp;"]")&amp;""": """&amp;SUBSTITUTE(box2metadata!$I123,"""","\""")&amp;""",")</f>
        <v>"layout.field.label.Product.[dc.contributor.author]": "Author(s)",</v>
      </c>
    </row>
    <row r="117" ht="14.25" customHeight="1">
      <c r="B117" s="20" t="str">
        <f>IF(ISBLANK(box2metadata!$I124),"",""""&amp;$A$2&amp;box2metadata!$A124&amp;"."&amp;IF(box2metadata!$E124="BITSTREAM","BITSTREAM"&amp;IF(ISBLANK(box2metadata!$G124),"","["&amp;box2metadata!$G124&amp;"]"),"["&amp;box2metadata!$F124&amp;"]")&amp;""": """&amp;SUBSTITUTE(box2metadata!$I124,"""","\""")&amp;""",")</f>
        <v>"layout.field.label.Product.[dc.identifier.doi]": "DOI",</v>
      </c>
    </row>
    <row r="118" ht="14.25" customHeight="1">
      <c r="B118" s="20" t="str">
        <f>IF(ISBLANK(box2metadata!$I125),"",""""&amp;$A$2&amp;box2metadata!$A125&amp;"."&amp;IF(box2metadata!$E125="BITSTREAM","BITSTREAM"&amp;IF(ISBLANK(box2metadata!$G125),"","["&amp;box2metadata!$G125&amp;"]"),"["&amp;box2metadata!$F125&amp;"]")&amp;""": """&amp;SUBSTITUTE(box2metadata!$I125,"""","\""")&amp;""",")</f>
        <v>"layout.field.label.Product.[dc.description.abstract]": "Abstract",</v>
      </c>
    </row>
    <row r="119" ht="14.25" customHeight="1">
      <c r="B119" s="20" t="str">
        <f>IF(ISBLANK(box2metadata!$I126),"",""""&amp;$A$2&amp;box2metadata!$A126&amp;"."&amp;IF(box2metadata!$E126="BITSTREAM","BITSTREAM"&amp;IF(ISBLANK(box2metadata!$G126),"","["&amp;box2metadata!$G126&amp;"]"),"["&amp;box2metadata!$F126&amp;"]")&amp;""": """&amp;SUBSTITUTE(box2metadata!$I126,"""","\""")&amp;""",")</f>
        <v>"layout.field.label.Product.[dc.relation.project]": "Project(s)",</v>
      </c>
    </row>
    <row r="120" ht="14.25" customHeight="1">
      <c r="B120" s="20" t="str">
        <f>IF(ISBLANK(box2metadata!$I127),"",""""&amp;$A$2&amp;box2metadata!$A127&amp;"."&amp;IF(box2metadata!$E127="BITSTREAM","BITSTREAM"&amp;IF(ISBLANK(box2metadata!$G127),"","["&amp;box2metadata!$G127&amp;"]"),"["&amp;box2metadata!$F127&amp;"]")&amp;""": """&amp;SUBSTITUTE(box2metadata!$I127,"""","\""")&amp;""",")</f>
        <v>"layout.field.label.Product.[dc.relation.funding]": "Funding(s)",</v>
      </c>
    </row>
    <row r="121" ht="14.25" customHeight="1">
      <c r="B121" s="20" t="str">
        <f>IF(ISBLANK(box2metadata!$I128),"",""""&amp;$A$2&amp;box2metadata!$A128&amp;"."&amp;IF(box2metadata!$E128="BITSTREAM","BITSTREAM"&amp;IF(ISBLANK(box2metadata!$G128),"","["&amp;box2metadata!$G128&amp;"]"),"["&amp;box2metadata!$F128&amp;"]")&amp;""": """&amp;SUBSTITUTE(box2metadata!$I128,"""","\""")&amp;""",")</f>
        <v>"layout.field.label.Product.[dc.subject]": "Subjects",</v>
      </c>
    </row>
    <row r="122" ht="14.25" customHeight="1">
      <c r="B122" s="20" t="str">
        <f>IF(ISBLANK(box2metadata!$I129),"",""""&amp;$A$2&amp;box2metadata!$A129&amp;"."&amp;IF(box2metadata!$E129="BITSTREAM","BITSTREAM"&amp;IF(ISBLANK(box2metadata!$G129),"","["&amp;box2metadata!$G129&amp;"]"),"["&amp;box2metadata!$F129&amp;"]")&amp;""": """&amp;SUBSTITUTE(box2metadata!$I129,"""","\""")&amp;""",")</f>
        <v>"layout.field.label.Product.BITSTREAM": "File(s)",</v>
      </c>
    </row>
    <row r="123" ht="14.25" customHeight="1">
      <c r="B123" s="20" t="str">
        <f>IF(ISBLANK(box2metadata!$I130),"",""""&amp;$A$2&amp;box2metadata!$A130&amp;"."&amp;IF(box2metadata!$E130="BITSTREAM","BITSTREAM"&amp;IF(ISBLANK(box2metadata!$G130),"","["&amp;box2metadata!$G130&amp;"]"),"["&amp;box2metadata!$F130&amp;"]")&amp;""": """&amp;SUBSTITUTE(box2metadata!$I130,"""","\""")&amp;""",")</f>
        <v>"layout.field.label.Patent.[dc.title]": "Title",</v>
      </c>
    </row>
    <row r="124" ht="14.25" customHeight="1">
      <c r="B124" s="20" t="str">
        <f>IF(ISBLANK(box2metadata!$I131),"",""""&amp;$A$2&amp;box2metadata!$A131&amp;"."&amp;IF(box2metadata!$E131="BITSTREAM","BITSTREAM"&amp;IF(ISBLANK(box2metadata!$G131),"","["&amp;box2metadata!$G131&amp;"]"),"["&amp;box2metadata!$F131&amp;"]")&amp;""": """&amp;SUBSTITUTE(box2metadata!$I131,"""","\""")&amp;""",")</f>
        <v>"layout.field.label.Patent.[dc.relation.ispartof]": "Journal",</v>
      </c>
    </row>
    <row r="125" ht="14.25" customHeight="1">
      <c r="B125" s="20" t="str">
        <f>IF(ISBLANK(box2metadata!$I132),"",""""&amp;$A$2&amp;box2metadata!$A132&amp;"."&amp;IF(box2metadata!$E132="BITSTREAM","BITSTREAM"&amp;IF(ISBLANK(box2metadata!$G132),"","["&amp;box2metadata!$G132&amp;"]"),"["&amp;box2metadata!$F132&amp;"]")&amp;""": """&amp;SUBSTITUTE(box2metadata!$I132,"""","\""")&amp;""",")</f>
        <v>"layout.field.label.Patent.[dc.relation.issn]": "ISSN",</v>
      </c>
    </row>
    <row r="126" ht="14.25" customHeight="1">
      <c r="B126" s="20" t="str">
        <f>IF(ISBLANK(box2metadata!$I133),"",""""&amp;$A$2&amp;box2metadata!$A133&amp;"."&amp;IF(box2metadata!$E133="BITSTREAM","BITSTREAM"&amp;IF(ISBLANK(box2metadata!$G133),"","["&amp;box2metadata!$G133&amp;"]"),"["&amp;box2metadata!$F133&amp;"]")&amp;""": """&amp;SUBSTITUTE(box2metadata!$I133,"""","\""")&amp;""",")</f>
        <v>"layout.field.label.Patent.[dc.date.issued]": "Date Issued",</v>
      </c>
    </row>
    <row r="127" ht="14.25" customHeight="1">
      <c r="B127" s="20" t="str">
        <f>IF(ISBLANK(box2metadata!$I134),"",""""&amp;$A$2&amp;box2metadata!$A134&amp;"."&amp;IF(box2metadata!$E134="BITSTREAM","BITSTREAM"&amp;IF(ISBLANK(box2metadata!$G134),"","["&amp;box2metadata!$G134&amp;"]"),"["&amp;box2metadata!$F134&amp;"]")&amp;""": """&amp;SUBSTITUTE(box2metadata!$I134,"""","\""")&amp;""",")</f>
        <v>"layout.field.label.Patent.[dc.contributor.author]": "Author(s)",</v>
      </c>
    </row>
    <row r="128" ht="14.25" customHeight="1">
      <c r="B128" s="20" t="str">
        <f>IF(ISBLANK(box2metadata!$I135),"",""""&amp;$A$2&amp;box2metadata!$A135&amp;"."&amp;IF(box2metadata!$E135="BITSTREAM","BITSTREAM"&amp;IF(ISBLANK(box2metadata!$G135),"","["&amp;box2metadata!$G135&amp;"]"),"["&amp;box2metadata!$F135&amp;"]")&amp;""": """&amp;SUBSTITUTE(box2metadata!$I135,"""","\""")&amp;""",")</f>
        <v>"layout.field.label.Patent.[dc.identifier.patentno]": "DOI",</v>
      </c>
    </row>
    <row r="129" ht="14.25" customHeight="1">
      <c r="B129" s="20" t="str">
        <f>IF(ISBLANK(box2metadata!$I136),"",""""&amp;$A$2&amp;box2metadata!$A136&amp;"."&amp;IF(box2metadata!$E136="BITSTREAM","BITSTREAM"&amp;IF(ISBLANK(box2metadata!$G136),"","["&amp;box2metadata!$G136&amp;"]"),"["&amp;box2metadata!$F136&amp;"]")&amp;""": """&amp;SUBSTITUTE(box2metadata!$I136,"""","\""")&amp;""",")</f>
        <v>"layout.field.label.Patent.[dc.description.abstract]": "Abstract",</v>
      </c>
    </row>
    <row r="130" ht="14.25" customHeight="1">
      <c r="B130" s="20" t="str">
        <f>IF(ISBLANK(box2metadata!$I137),"",""""&amp;$A$2&amp;box2metadata!$A137&amp;"."&amp;IF(box2metadata!$E137="BITSTREAM","BITSTREAM"&amp;IF(ISBLANK(box2metadata!$G137),"","["&amp;box2metadata!$G137&amp;"]"),"["&amp;box2metadata!$F137&amp;"]")&amp;""": """&amp;SUBSTITUTE(box2metadata!$I137,"""","\""")&amp;""",")</f>
        <v>"layout.field.label.Patent.[dc.relation.project]": "Project(s)",</v>
      </c>
    </row>
    <row r="131" ht="14.25" customHeight="1">
      <c r="B131" s="20" t="str">
        <f>IF(ISBLANK(box2metadata!$I138),"",""""&amp;$A$2&amp;box2metadata!$A138&amp;"."&amp;IF(box2metadata!$E138="BITSTREAM","BITSTREAM"&amp;IF(ISBLANK(box2metadata!$G138),"","["&amp;box2metadata!$G138&amp;"]"),"["&amp;box2metadata!$F138&amp;"]")&amp;""": """&amp;SUBSTITUTE(box2metadata!$I138,"""","\""")&amp;""",")</f>
        <v>"layout.field.label.Patent.[dc.relation.funding]": "Funding(s)",</v>
      </c>
    </row>
    <row r="132" ht="14.25" customHeight="1">
      <c r="B132" s="20" t="str">
        <f>IF(ISBLANK(box2metadata!$I139),"",""""&amp;$A$2&amp;box2metadata!$A139&amp;"."&amp;IF(box2metadata!$E139="BITSTREAM","BITSTREAM"&amp;IF(ISBLANK(box2metadata!$G139),"","["&amp;box2metadata!$G139&amp;"]"),"["&amp;box2metadata!$F139&amp;"]")&amp;""": """&amp;SUBSTITUTE(box2metadata!$I139,"""","\""")&amp;""",")</f>
        <v>"layout.field.label.Patent.[dc.subject]": "Subjects",</v>
      </c>
    </row>
    <row r="133" ht="14.25" customHeight="1">
      <c r="B133" s="20" t="str">
        <f>IF(ISBLANK(box2metadata!$I140),"",""""&amp;$A$2&amp;box2metadata!$A140&amp;"."&amp;IF(box2metadata!$E140="BITSTREAM","BITSTREAM"&amp;IF(ISBLANK(box2metadata!$G140),"","["&amp;box2metadata!$G140&amp;"]"),"["&amp;box2metadata!$F140&amp;"]")&amp;""": """&amp;SUBSTITUTE(box2metadata!$I140,"""","\""")&amp;""",")</f>
        <v>"layout.field.label.Patent.BITSTREAM": "File(s)",</v>
      </c>
    </row>
    <row r="134" ht="14.25" customHeight="1">
      <c r="B134" s="20" t="str">
        <f>IF(ISBLANK(box2metadata!$I141),"",""""&amp;$A$2&amp;box2metadata!$A141&amp;"."&amp;IF(box2metadata!$E141="BITSTREAM","BITSTREAM"&amp;IF(ISBLANK(box2metadata!$G141),"","["&amp;box2metadata!$G141&amp;"]"),"["&amp;box2metadata!$F141&amp;"]")&amp;""": """&amp;SUBSTITUTE(box2metadata!$I141,"""","\""")&amp;""",")</f>
        <v/>
      </c>
    </row>
    <row r="135" ht="14.25" customHeight="1">
      <c r="B135" s="20" t="str">
        <f>IF(ISBLANK(box2metadata!$I142),"",""""&amp;$A$2&amp;box2metadata!$A142&amp;"."&amp;IF(box2metadata!$E142="BITSTREAM","BITSTREAM"&amp;IF(ISBLANK(box2metadata!$G142),"","["&amp;box2metadata!$G142&amp;"]"),"["&amp;box2metadata!$F142&amp;"]")&amp;""": """&amp;SUBSTITUTE(box2metadata!$I142,"""","\""")&amp;""",")</f>
        <v/>
      </c>
    </row>
    <row r="136" ht="14.25" customHeight="1">
      <c r="B136" s="20" t="str">
        <f>IF(ISBLANK(box2metadata!$I143),"",""""&amp;$A$2&amp;box2metadata!$A143&amp;"."&amp;IF(box2metadata!$E143="BITSTREAM","BITSTREAM"&amp;IF(ISBLANK(box2metadata!$G143),"","["&amp;box2metadata!$G143&amp;"]"),"["&amp;box2metadata!$F143&amp;"]")&amp;""": """&amp;SUBSTITUTE(box2metadata!$I143,"""","\""")&amp;""",")</f>
        <v/>
      </c>
    </row>
    <row r="137" ht="14.25" customHeight="1">
      <c r="B137" s="20" t="str">
        <f t="shared" ref="B137:B147" si="1">IF(ISBLANK(#REF!),"",""""&amp;$A$2&amp;#REF!&amp;"."&amp;IF(#REF!="BITSTREAM","BITSTREAM"&amp;IF(ISBLANK(#REF!),"","["&amp;#REF!&amp;"]"),"["&amp;#REF!&amp;"]")&amp;""": """&amp;SUBSTITUTE(#REF!,"""","\""")&amp;""",")</f>
        <v>#REF!</v>
      </c>
    </row>
    <row r="138" ht="14.25" customHeight="1">
      <c r="B138" s="20" t="str">
        <f t="shared" si="1"/>
        <v>#REF!</v>
      </c>
    </row>
    <row r="139" ht="14.25" customHeight="1">
      <c r="B139" s="20" t="str">
        <f t="shared" si="1"/>
        <v>#REF!</v>
      </c>
    </row>
    <row r="140" ht="14.25" customHeight="1">
      <c r="B140" s="20" t="str">
        <f t="shared" si="1"/>
        <v>#REF!</v>
      </c>
    </row>
    <row r="141" ht="14.25" customHeight="1">
      <c r="B141" s="20" t="str">
        <f t="shared" si="1"/>
        <v>#REF!</v>
      </c>
    </row>
    <row r="142" ht="14.25" customHeight="1">
      <c r="B142" s="20" t="str">
        <f t="shared" si="1"/>
        <v>#REF!</v>
      </c>
    </row>
    <row r="143" ht="14.25" customHeight="1">
      <c r="B143" s="20" t="str">
        <f t="shared" si="1"/>
        <v>#REF!</v>
      </c>
    </row>
    <row r="144" ht="14.25" customHeight="1">
      <c r="B144" s="20" t="str">
        <f t="shared" si="1"/>
        <v>#REF!</v>
      </c>
    </row>
    <row r="145" ht="14.25" customHeight="1">
      <c r="B145" s="20" t="str">
        <f t="shared" si="1"/>
        <v>#REF!</v>
      </c>
    </row>
    <row r="146" ht="14.25" customHeight="1">
      <c r="B146" s="20" t="str">
        <f t="shared" si="1"/>
        <v>#REF!</v>
      </c>
    </row>
    <row r="147" ht="14.25" customHeight="1">
      <c r="B147" s="20" t="str">
        <f t="shared" si="1"/>
        <v>#REF!</v>
      </c>
    </row>
    <row r="148" ht="14.25" customHeight="1">
      <c r="B148" s="20" t="str">
        <f>IF(ISBLANK(box2metadata!$I146),"",""""&amp;$A$2&amp;box2metadata!$A146&amp;"."&amp;IF(box2metadata!$E146="BITSTREAM","BITSTREAM"&amp;IF(ISBLANK(box2metadata!$G146),"","["&amp;box2metadata!$G146&amp;"]"),"["&amp;box2metadata!$F146&amp;"]")&amp;""": """&amp;SUBSTITUTE(box2metadata!$I146,"""","\""")&amp;""",")</f>
        <v>"layout.field.label.Thesis.BITSTREAM": "File(s)",</v>
      </c>
    </row>
    <row r="149" ht="14.25" customHeight="1">
      <c r="B149" s="20" t="str">
        <f>IF(ISBLANK(box2metadata!$I147),"",""""&amp;$A$2&amp;box2metadata!$A147&amp;"."&amp;IF(box2metadata!$E147="BITSTREAM","BITSTREAM"&amp;IF(ISBLANK(box2metadata!$G147),"","["&amp;box2metadata!$G147&amp;"]"),"["&amp;box2metadata!$F147&amp;"]")&amp;""": """&amp;SUBSTITUTE(box2metadata!$I147,"""","\""")&amp;""",")</f>
        <v>"layout.field.label.Thesis.[antarc.area.ods]": "Research SDG",</v>
      </c>
    </row>
    <row r="150" ht="14.25" customHeight="1">
      <c r="B150" s="20" t="str">
        <f>IF(ISBLANK(box2metadata!$I148),"",""""&amp;$A$2&amp;box2metadata!$A148&amp;"."&amp;IF(box2metadata!$E148="BITSTREAM","BITSTREAM"&amp;IF(ISBLANK(box2metadata!$G148),"","["&amp;box2metadata!$G148&amp;"]"),"["&amp;box2metadata!$F148&amp;"]")&amp;""": """&amp;SUBSTITUTE(box2metadata!$I148,"""","\""")&amp;""",")</f>
        <v>"layout.field.label.Thesis.[antarc.area.anid]": "Research ANID",</v>
      </c>
    </row>
    <row r="151" ht="14.25" customHeight="1">
      <c r="B151" s="20" t="str">
        <f>IF(ISBLANK(box2metadata!$I149),"",""""&amp;$A$2&amp;box2metadata!$A149&amp;"."&amp;IF(box2metadata!$E149="BITSTREAM","BITSTREAM"&amp;IF(ISBLANK(box2metadata!$G149),"","["&amp;box2metadata!$G149&amp;"]"),"["&amp;box2metadata!$F149&amp;"]")&amp;""": """&amp;SUBSTITUTE(box2metadata!$I149,"""","\""")&amp;""",")</f>
        <v>"layout.field.label.Thesis.[antarc.area.inach]": "Research INACH",</v>
      </c>
    </row>
    <row r="152" ht="14.25" customHeight="1">
      <c r="B152" s="20" t="str">
        <f>IF(ISBLANK(#REF!),"",""""&amp;$A$2&amp;#REF!&amp;"."&amp;IF(#REF!="BITSTREAM","BITSTREAM"&amp;IF(ISBLANK(#REF!),"","["&amp;#REF!&amp;"]"),"["&amp;#REF!&amp;"]")&amp;""": """&amp;SUBSTITUTE(#REF!,"""","\""")&amp;""",")</f>
        <v>#REF!</v>
      </c>
    </row>
    <row r="153" ht="14.25" customHeight="1">
      <c r="B153" s="20" t="str">
        <f>IF(ISBLANK(box2metadata!$I150),"",""""&amp;$A$2&amp;box2metadata!$A150&amp;"."&amp;IF(box2metadata!$E150="BITSTREAM","BITSTREAM"&amp;IF(ISBLANK(box2metadata!$G150),"","["&amp;box2metadata!$G150&amp;"]"),"["&amp;box2metadata!$F150&amp;"]")&amp;""": """&amp;SUBSTITUTE(box2metadata!$I150,"""","\""")&amp;""",")</f>
        <v/>
      </c>
    </row>
    <row r="154" ht="14.25" customHeight="1">
      <c r="B154" s="20" t="str">
        <f>IF(ISBLANK(box2metadata!$I151),"",""""&amp;$A$2&amp;box2metadata!$A151&amp;"."&amp;IF(box2metadata!$E151="BITSTREAM","BITSTREAM"&amp;IF(ISBLANK(box2metadata!$G151),"","["&amp;box2metadata!$G151&amp;"]"),"["&amp;box2metadata!$F151&amp;"]")&amp;""": """&amp;SUBSTITUTE(box2metadata!$I151,"""","\""")&amp;""",")</f>
        <v/>
      </c>
    </row>
    <row r="155" ht="14.25" customHeight="1">
      <c r="B155" s="20" t="str">
        <f>IF(ISBLANK(box2metadata!$I152),"",""""&amp;$A$2&amp;box2metadata!$A152&amp;"."&amp;IF(box2metadata!$E152="BITSTREAM","BITSTREAM"&amp;IF(ISBLANK(box2metadata!$G152),"","["&amp;box2metadata!$G152&amp;"]"),"["&amp;box2metadata!$F152&amp;"]")&amp;""": """&amp;SUBSTITUTE(box2metadata!$I152,"""","\""")&amp;""",")</f>
        <v/>
      </c>
    </row>
    <row r="156" ht="14.25" customHeight="1">
      <c r="B156" s="20" t="str">
        <f>IF(ISBLANK(box2metadata!$I153),"",""""&amp;$A$2&amp;box2metadata!$A153&amp;"."&amp;IF(box2metadata!$E153="BITSTREAM","BITSTREAM"&amp;IF(ISBLANK(box2metadata!$G153),"","["&amp;box2metadata!$G153&amp;"]"),"["&amp;box2metadata!$F153&amp;"]")&amp;""": """&amp;SUBSTITUTE(box2metadata!$I153,"""","\""")&amp;""",")</f>
        <v/>
      </c>
    </row>
    <row r="157" ht="14.25" customHeight="1">
      <c r="B157" s="20" t="str">
        <f>IF(ISBLANK(box2metadata!$I154),"",""""&amp;$A$2&amp;box2metadata!$A154&amp;"."&amp;IF(box2metadata!$E154="BITSTREAM","BITSTREAM"&amp;IF(ISBLANK(box2metadata!$G154),"","["&amp;box2metadata!$G154&amp;"]"),"["&amp;box2metadata!$F154&amp;"]")&amp;""": """&amp;SUBSTITUTE(box2metadata!$I154,"""","\""")&amp;""",")</f>
        <v/>
      </c>
    </row>
    <row r="158" ht="14.25" customHeight="1">
      <c r="B158" s="20" t="str">
        <f>IF(ISBLANK(box2metadata!$I155),"",""""&amp;$A$2&amp;box2metadata!$A155&amp;"."&amp;IF(box2metadata!$E155="BITSTREAM","BITSTREAM"&amp;IF(ISBLANK(box2metadata!$G155),"","["&amp;box2metadata!$G155&amp;"]"),"["&amp;box2metadata!$F155&amp;"]")&amp;""": """&amp;SUBSTITUTE(box2metadata!$I155,"""","\""")&amp;""",")</f>
        <v/>
      </c>
    </row>
    <row r="159" ht="14.25" customHeight="1">
      <c r="B159" s="20" t="str">
        <f>IF(ISBLANK(box2metadata!$I156),"",""""&amp;$A$2&amp;box2metadata!$A156&amp;"."&amp;IF(box2metadata!$E156="BITSTREAM","BITSTREAM"&amp;IF(ISBLANK(box2metadata!$G156),"","["&amp;box2metadata!$G156&amp;"]"),"["&amp;box2metadata!$F156&amp;"]")&amp;""": """&amp;SUBSTITUTE(box2metadata!$I156,"""","\""")&amp;""",")</f>
        <v/>
      </c>
    </row>
    <row r="160" ht="14.25" customHeight="1">
      <c r="B160" s="20" t="str">
        <f>IF(ISBLANK(box2metadata!$I157),"",""""&amp;$A$2&amp;box2metadata!$A157&amp;"."&amp;IF(box2metadata!$E157="BITSTREAM","BITSTREAM"&amp;IF(ISBLANK(box2metadata!$G157),"","["&amp;box2metadata!$G157&amp;"]"),"["&amp;box2metadata!$F157&amp;"]")&amp;""": """&amp;SUBSTITUTE(box2metadata!$I157,"""","\""")&amp;""",")</f>
        <v/>
      </c>
    </row>
    <row r="161" ht="14.25" customHeight="1">
      <c r="B161" s="16"/>
    </row>
    <row r="162" ht="14.25" customHeight="1">
      <c r="B162" s="16"/>
    </row>
    <row r="163" ht="14.25" customHeight="1">
      <c r="B163" s="16"/>
    </row>
    <row r="164" ht="14.25" customHeight="1">
      <c r="B164" s="16"/>
    </row>
    <row r="165" ht="14.25" customHeight="1">
      <c r="B165" s="16"/>
    </row>
    <row r="166" ht="14.25" customHeight="1">
      <c r="B166" s="16"/>
    </row>
    <row r="167" ht="14.25" customHeight="1">
      <c r="B167" s="16"/>
    </row>
    <row r="168" ht="14.25" customHeight="1">
      <c r="B168" s="16"/>
    </row>
    <row r="169" ht="14.25" customHeight="1">
      <c r="B169" s="16"/>
    </row>
    <row r="170" ht="14.25" customHeight="1">
      <c r="B170" s="16"/>
    </row>
    <row r="171" ht="14.25" customHeight="1">
      <c r="B171" s="16"/>
    </row>
    <row r="172" ht="14.25" customHeight="1">
      <c r="B172" s="16"/>
    </row>
    <row r="173" ht="14.25" customHeight="1">
      <c r="B173" s="16"/>
    </row>
    <row r="174" ht="14.25" customHeight="1">
      <c r="B174" s="16"/>
    </row>
    <row r="175" ht="14.25" customHeight="1">
      <c r="B175" s="16"/>
    </row>
    <row r="176" ht="14.25" customHeight="1">
      <c r="B176" s="16"/>
    </row>
    <row r="177" ht="14.25" customHeight="1">
      <c r="B177" s="16"/>
    </row>
    <row r="178" ht="14.25" customHeight="1">
      <c r="B178" s="16"/>
    </row>
    <row r="179" ht="14.25" customHeight="1">
      <c r="B179" s="16"/>
    </row>
    <row r="180" ht="14.25" customHeight="1">
      <c r="B180" s="16"/>
    </row>
    <row r="181" ht="14.25" customHeight="1">
      <c r="B181" s="16"/>
    </row>
    <row r="182" ht="14.25" customHeight="1">
      <c r="B182" s="16"/>
    </row>
    <row r="183" ht="14.25" customHeight="1">
      <c r="B183" s="16"/>
    </row>
    <row r="184" ht="14.25" customHeight="1">
      <c r="B184" s="16"/>
    </row>
    <row r="185" ht="14.25" customHeight="1">
      <c r="B185" s="16"/>
    </row>
    <row r="186" ht="14.25" customHeight="1">
      <c r="B186" s="16"/>
    </row>
    <row r="187" ht="14.25" customHeight="1">
      <c r="B187" s="16"/>
    </row>
    <row r="188" ht="14.25" customHeight="1">
      <c r="B188" s="16"/>
    </row>
    <row r="189" ht="14.25" customHeight="1">
      <c r="B189" s="16"/>
    </row>
    <row r="190" ht="14.25" customHeight="1">
      <c r="B190" s="16"/>
    </row>
    <row r="191" ht="14.25" customHeight="1">
      <c r="B191" s="16"/>
    </row>
    <row r="192" ht="14.25" customHeight="1">
      <c r="B192" s="16"/>
    </row>
    <row r="193" ht="14.25" customHeight="1">
      <c r="B193" s="16"/>
    </row>
    <row r="194" ht="14.25" customHeight="1">
      <c r="B194" s="16"/>
    </row>
    <row r="195" ht="14.25" customHeight="1">
      <c r="B195" s="16"/>
    </row>
    <row r="196" ht="14.25" customHeight="1">
      <c r="B196" s="16"/>
    </row>
    <row r="197" ht="14.25" customHeight="1">
      <c r="B197" s="16"/>
    </row>
    <row r="198" ht="14.25" customHeight="1">
      <c r="B198" s="16"/>
    </row>
    <row r="199" ht="14.25" customHeight="1">
      <c r="B199" s="16"/>
    </row>
    <row r="200" ht="14.25" customHeight="1">
      <c r="B200" s="16"/>
    </row>
    <row r="201" ht="14.25" customHeight="1">
      <c r="B201" s="16"/>
    </row>
    <row r="202" ht="14.25" customHeight="1">
      <c r="B202" s="16"/>
    </row>
    <row r="203" ht="14.25" customHeight="1">
      <c r="B203" s="16"/>
    </row>
    <row r="204" ht="14.25" customHeight="1">
      <c r="B204" s="16"/>
    </row>
    <row r="205" ht="14.25" customHeight="1">
      <c r="B205" s="16"/>
    </row>
    <row r="206" ht="14.25" customHeight="1">
      <c r="B206" s="16"/>
    </row>
    <row r="207" ht="14.25" customHeight="1">
      <c r="B207" s="16"/>
    </row>
    <row r="208" ht="14.25" customHeight="1">
      <c r="B208" s="16"/>
    </row>
    <row r="209" ht="14.25" customHeight="1">
      <c r="B209" s="16"/>
    </row>
    <row r="210" ht="14.25" customHeight="1">
      <c r="B210" s="16"/>
    </row>
    <row r="211" ht="14.25" customHeight="1">
      <c r="B211" s="16"/>
    </row>
    <row r="212" ht="14.25" customHeight="1">
      <c r="B212" s="16"/>
    </row>
    <row r="213" ht="14.25" customHeight="1">
      <c r="B213" s="16"/>
    </row>
    <row r="214" ht="14.25" customHeight="1">
      <c r="B214" s="16"/>
    </row>
    <row r="215" ht="14.25" customHeight="1">
      <c r="B215" s="16"/>
    </row>
    <row r="216" ht="14.25" customHeight="1">
      <c r="B216" s="16"/>
    </row>
    <row r="217" ht="14.25" customHeight="1">
      <c r="B217" s="16"/>
    </row>
    <row r="218" ht="14.25" customHeight="1">
      <c r="B218" s="16"/>
    </row>
    <row r="219" ht="14.25" customHeight="1">
      <c r="B219" s="16"/>
    </row>
    <row r="220" ht="14.25" customHeight="1">
      <c r="B220" s="16"/>
    </row>
    <row r="221" ht="14.25" customHeight="1">
      <c r="B221" s="16"/>
    </row>
    <row r="222" ht="14.25" customHeight="1">
      <c r="B222" s="16"/>
    </row>
    <row r="223" ht="14.25" customHeight="1">
      <c r="B223" s="16"/>
    </row>
    <row r="224" ht="14.25" customHeight="1">
      <c r="B224" s="16"/>
    </row>
    <row r="225" ht="14.25" customHeight="1">
      <c r="B225" s="16"/>
    </row>
    <row r="226" ht="14.25" customHeight="1">
      <c r="B226" s="16"/>
    </row>
    <row r="227" ht="14.25" customHeight="1">
      <c r="B227" s="16"/>
    </row>
    <row r="228" ht="14.25" customHeight="1">
      <c r="B228" s="16"/>
    </row>
    <row r="229" ht="14.25" customHeight="1">
      <c r="B229" s="16"/>
    </row>
    <row r="230" ht="14.25" customHeight="1">
      <c r="B230" s="16"/>
    </row>
    <row r="231" ht="14.25" customHeight="1">
      <c r="B231" s="16"/>
    </row>
    <row r="232" ht="14.25" customHeight="1">
      <c r="B232" s="16"/>
    </row>
    <row r="233" ht="14.25" customHeight="1">
      <c r="B233" s="16"/>
    </row>
    <row r="234" ht="14.25" customHeight="1">
      <c r="B234" s="16"/>
    </row>
    <row r="235" ht="14.25" customHeight="1">
      <c r="B235" s="16"/>
    </row>
    <row r="236" ht="14.25" customHeight="1">
      <c r="B236" s="16"/>
    </row>
    <row r="237" ht="14.25" customHeight="1">
      <c r="B237" s="16"/>
    </row>
    <row r="238" ht="14.25" customHeight="1">
      <c r="B238" s="16"/>
    </row>
    <row r="239" ht="14.25" customHeight="1">
      <c r="B239" s="16"/>
    </row>
    <row r="240" ht="14.25" customHeight="1">
      <c r="B240" s="16"/>
    </row>
    <row r="241" ht="14.25" customHeight="1">
      <c r="B241" s="16"/>
    </row>
    <row r="242" ht="14.25" customHeight="1">
      <c r="B242" s="16"/>
    </row>
    <row r="243" ht="14.25" customHeight="1">
      <c r="B243" s="16"/>
    </row>
    <row r="244" ht="14.25" customHeight="1">
      <c r="B244" s="16"/>
    </row>
    <row r="245" ht="14.25" customHeight="1">
      <c r="B245" s="16"/>
    </row>
    <row r="246" ht="14.25" customHeight="1">
      <c r="B246" s="16"/>
    </row>
    <row r="247" ht="14.25" customHeight="1">
      <c r="B247" s="16"/>
    </row>
    <row r="248" ht="14.25" customHeight="1">
      <c r="B248" s="16"/>
    </row>
    <row r="249" ht="14.25" customHeight="1">
      <c r="B249" s="16"/>
    </row>
    <row r="250" ht="14.25" customHeight="1">
      <c r="B250" s="16"/>
    </row>
    <row r="251" ht="14.25" customHeight="1">
      <c r="B251" s="16"/>
    </row>
    <row r="252" ht="14.25" customHeight="1">
      <c r="B252" s="16"/>
    </row>
    <row r="253" ht="14.25" customHeight="1">
      <c r="B253" s="16"/>
    </row>
    <row r="254" ht="14.25" customHeight="1">
      <c r="B254" s="16"/>
    </row>
    <row r="255" ht="14.25" customHeight="1">
      <c r="B255" s="16"/>
    </row>
    <row r="256" ht="14.25" customHeight="1">
      <c r="B256" s="16"/>
    </row>
    <row r="257" ht="14.25" customHeight="1">
      <c r="B257" s="16"/>
    </row>
    <row r="258" ht="14.25" customHeight="1">
      <c r="B258" s="16"/>
    </row>
    <row r="259" ht="14.25" customHeight="1">
      <c r="B259" s="16"/>
    </row>
    <row r="260" ht="14.25" customHeight="1">
      <c r="B260" s="16"/>
    </row>
    <row r="261" ht="14.25" customHeight="1">
      <c r="B261" s="16"/>
    </row>
    <row r="262" ht="14.25" customHeight="1">
      <c r="B262" s="16"/>
    </row>
    <row r="263" ht="14.25" customHeight="1">
      <c r="B263" s="16"/>
    </row>
    <row r="264" ht="14.25" customHeight="1">
      <c r="B264" s="16"/>
    </row>
    <row r="265" ht="14.25" customHeight="1">
      <c r="B265" s="16"/>
    </row>
    <row r="266" ht="14.25" customHeight="1">
      <c r="B266" s="16"/>
    </row>
    <row r="267" ht="14.25" customHeight="1">
      <c r="B267" s="16"/>
    </row>
    <row r="268" ht="14.25" customHeight="1">
      <c r="B268" s="16"/>
    </row>
    <row r="269" ht="14.25" customHeight="1">
      <c r="B269" s="16"/>
    </row>
    <row r="270" ht="14.25" customHeight="1">
      <c r="B270" s="16"/>
    </row>
    <row r="271" ht="14.25" customHeight="1">
      <c r="B271" s="16"/>
    </row>
    <row r="272" ht="14.25" customHeight="1">
      <c r="B272" s="16"/>
    </row>
    <row r="273" ht="14.25" customHeight="1">
      <c r="B273" s="16"/>
    </row>
    <row r="274" ht="14.25" customHeight="1">
      <c r="B274" s="16"/>
    </row>
    <row r="275" ht="14.25" customHeight="1">
      <c r="B275" s="16"/>
    </row>
    <row r="276" ht="14.25" customHeight="1">
      <c r="B276" s="16"/>
    </row>
    <row r="277" ht="14.25" customHeight="1">
      <c r="B277" s="16"/>
    </row>
    <row r="278" ht="14.25" customHeight="1">
      <c r="B278" s="16"/>
    </row>
    <row r="279" ht="14.25" customHeight="1">
      <c r="B279" s="16"/>
    </row>
    <row r="280" ht="14.25" customHeight="1">
      <c r="B280" s="16"/>
    </row>
    <row r="281" ht="14.25" customHeight="1">
      <c r="B281" s="16"/>
    </row>
    <row r="282" ht="14.25" customHeight="1">
      <c r="B282" s="16"/>
    </row>
    <row r="283" ht="14.25" customHeight="1">
      <c r="B283" s="16"/>
    </row>
    <row r="284" ht="14.25" customHeight="1">
      <c r="B284" s="16"/>
    </row>
    <row r="285" ht="14.25" customHeight="1">
      <c r="B285" s="16"/>
    </row>
    <row r="286" ht="14.25" customHeight="1">
      <c r="B286" s="16"/>
    </row>
    <row r="287" ht="14.25" customHeight="1">
      <c r="B287" s="16"/>
    </row>
    <row r="288" ht="14.25" customHeight="1">
      <c r="B288" s="16"/>
    </row>
    <row r="289" ht="14.25" customHeight="1">
      <c r="B289" s="16"/>
    </row>
    <row r="290" ht="14.25" customHeight="1">
      <c r="B290" s="16"/>
    </row>
    <row r="291" ht="14.25" customHeight="1">
      <c r="B291" s="16"/>
    </row>
    <row r="292" ht="14.25" customHeight="1">
      <c r="B292" s="16"/>
    </row>
    <row r="293" ht="14.25" customHeight="1">
      <c r="B293" s="16"/>
    </row>
    <row r="294" ht="14.25" customHeight="1">
      <c r="B294" s="16"/>
    </row>
    <row r="295" ht="14.25" customHeight="1">
      <c r="B295" s="16"/>
    </row>
    <row r="296" ht="14.25" customHeight="1">
      <c r="B296" s="16"/>
    </row>
    <row r="297" ht="14.25" customHeight="1">
      <c r="B297" s="16"/>
    </row>
    <row r="298" ht="14.25" customHeight="1">
      <c r="B298" s="16"/>
    </row>
    <row r="299" ht="14.25" customHeight="1">
      <c r="B299" s="16"/>
    </row>
    <row r="300" ht="14.25" customHeight="1">
      <c r="B300" s="16"/>
    </row>
    <row r="301" ht="14.25" customHeight="1">
      <c r="B301" s="16"/>
    </row>
    <row r="302" ht="14.25" customHeight="1">
      <c r="B302" s="16"/>
    </row>
    <row r="303" ht="14.25" customHeight="1">
      <c r="B303" s="16"/>
    </row>
    <row r="304" ht="14.25" customHeight="1">
      <c r="B304" s="16"/>
    </row>
    <row r="305" ht="14.25" customHeight="1">
      <c r="B305" s="16"/>
    </row>
    <row r="306" ht="14.25" customHeight="1">
      <c r="B306" s="16"/>
    </row>
    <row r="307" ht="14.25" customHeight="1">
      <c r="B307" s="16"/>
    </row>
    <row r="308" ht="14.25" customHeight="1">
      <c r="B308" s="16"/>
    </row>
    <row r="309" ht="14.25" customHeight="1">
      <c r="B309" s="16"/>
    </row>
    <row r="310" ht="14.25" customHeight="1">
      <c r="B310" s="16"/>
    </row>
    <row r="311" ht="14.25" customHeight="1">
      <c r="B311" s="16"/>
    </row>
    <row r="312" ht="14.25" customHeight="1">
      <c r="B312" s="16"/>
    </row>
    <row r="313" ht="14.25" customHeight="1">
      <c r="B313" s="16"/>
    </row>
    <row r="314" ht="14.25" customHeight="1">
      <c r="B314" s="16"/>
    </row>
    <row r="315" ht="14.25" customHeight="1">
      <c r="B315" s="16"/>
    </row>
    <row r="316" ht="14.25" customHeight="1">
      <c r="B316" s="16"/>
    </row>
    <row r="317" ht="14.25" customHeight="1">
      <c r="B317" s="16"/>
    </row>
    <row r="318" ht="14.25" customHeight="1">
      <c r="B318" s="16"/>
    </row>
    <row r="319" ht="14.25" customHeight="1">
      <c r="B319" s="16"/>
    </row>
    <row r="320" ht="14.25" customHeight="1">
      <c r="B320" s="16"/>
    </row>
    <row r="321" ht="14.25" customHeight="1">
      <c r="B321" s="16"/>
    </row>
    <row r="322" ht="14.25" customHeight="1">
      <c r="B322" s="16"/>
    </row>
    <row r="323" ht="14.25" customHeight="1">
      <c r="B323" s="16"/>
    </row>
    <row r="324" ht="14.25" customHeight="1">
      <c r="B324" s="16"/>
    </row>
    <row r="325" ht="14.25" customHeight="1">
      <c r="B325" s="16"/>
    </row>
    <row r="326" ht="14.25" customHeight="1">
      <c r="B326" s="16"/>
    </row>
    <row r="327" ht="14.25" customHeight="1">
      <c r="B327" s="16"/>
    </row>
    <row r="328" ht="14.25" customHeight="1">
      <c r="B328" s="16"/>
    </row>
    <row r="329" ht="14.25" customHeight="1">
      <c r="B329" s="16"/>
    </row>
    <row r="330" ht="14.25" customHeight="1">
      <c r="B330" s="16"/>
    </row>
    <row r="331" ht="14.25" customHeight="1">
      <c r="B331" s="16"/>
    </row>
    <row r="332" ht="14.25" customHeight="1">
      <c r="B332" s="16"/>
    </row>
    <row r="333" ht="14.25" customHeight="1">
      <c r="B333" s="16"/>
    </row>
    <row r="334" ht="14.25" customHeight="1">
      <c r="B334" s="16"/>
    </row>
    <row r="335" ht="14.25" customHeight="1">
      <c r="B335" s="16"/>
    </row>
    <row r="336" ht="14.25" customHeight="1">
      <c r="B336" s="16"/>
    </row>
    <row r="337" ht="14.25" customHeight="1">
      <c r="B337" s="16"/>
    </row>
    <row r="338" ht="14.25" customHeight="1">
      <c r="B338" s="16"/>
    </row>
    <row r="339" ht="14.25" customHeight="1">
      <c r="B339" s="16"/>
    </row>
    <row r="340" ht="14.25" customHeight="1">
      <c r="B340" s="16"/>
    </row>
    <row r="341" ht="14.25" customHeight="1">
      <c r="B341" s="16"/>
    </row>
    <row r="342" ht="14.25" customHeight="1">
      <c r="B342" s="16"/>
    </row>
    <row r="343" ht="14.25" customHeight="1">
      <c r="B343" s="16"/>
    </row>
    <row r="344" ht="14.25" customHeight="1">
      <c r="B344" s="16"/>
    </row>
    <row r="345" ht="14.25" customHeight="1">
      <c r="B345" s="16"/>
    </row>
    <row r="346" ht="14.25" customHeight="1">
      <c r="B346" s="16"/>
    </row>
    <row r="347" ht="14.25" customHeight="1">
      <c r="B347" s="16"/>
    </row>
    <row r="348" ht="14.25" customHeight="1">
      <c r="B348" s="16"/>
    </row>
    <row r="349" ht="14.25" customHeight="1">
      <c r="B349" s="16"/>
    </row>
    <row r="350" ht="14.25" customHeight="1">
      <c r="B350" s="16"/>
    </row>
    <row r="351" ht="14.25" customHeight="1">
      <c r="B351" s="16"/>
    </row>
    <row r="352" ht="14.25" customHeight="1">
      <c r="B352" s="16"/>
    </row>
    <row r="353" ht="14.25" customHeight="1">
      <c r="B353" s="16"/>
    </row>
    <row r="354" ht="14.25" customHeight="1">
      <c r="B354" s="16"/>
    </row>
    <row r="355" ht="14.25" customHeight="1">
      <c r="B355" s="16"/>
    </row>
    <row r="356" ht="14.25" customHeight="1">
      <c r="B356" s="16"/>
    </row>
    <row r="357" ht="14.25" customHeight="1">
      <c r="B357" s="16"/>
    </row>
    <row r="358" ht="14.25" customHeight="1">
      <c r="B358" s="16"/>
    </row>
    <row r="359" ht="14.25" customHeight="1">
      <c r="B359" s="16"/>
    </row>
    <row r="360" ht="14.25" customHeight="1">
      <c r="B360" s="16"/>
    </row>
    <row r="361" ht="14.25" customHeight="1">
      <c r="B361" s="16"/>
    </row>
    <row r="362" ht="14.25" customHeight="1">
      <c r="B362" s="16"/>
    </row>
    <row r="363" ht="14.25" customHeight="1">
      <c r="B363" s="16"/>
    </row>
    <row r="364" ht="14.25" customHeight="1">
      <c r="B364" s="16"/>
    </row>
    <row r="365" ht="14.25" customHeight="1">
      <c r="B365" s="16"/>
    </row>
    <row r="366" ht="14.25" customHeight="1">
      <c r="B366" s="16"/>
    </row>
    <row r="367" ht="14.25" customHeight="1">
      <c r="B367" s="16"/>
    </row>
    <row r="368" ht="14.25" customHeight="1">
      <c r="B368" s="16"/>
    </row>
    <row r="369" ht="14.25" customHeight="1">
      <c r="B369" s="16"/>
    </row>
    <row r="370" ht="14.25" customHeight="1">
      <c r="B370" s="16"/>
    </row>
    <row r="371" ht="14.25" customHeight="1">
      <c r="B371" s="16"/>
    </row>
    <row r="372" ht="14.25" customHeight="1">
      <c r="B372" s="16"/>
    </row>
    <row r="373" ht="14.25" customHeight="1">
      <c r="B373" s="16"/>
    </row>
    <row r="374" ht="14.25" customHeight="1">
      <c r="B374" s="16"/>
    </row>
    <row r="375" ht="14.25" customHeight="1">
      <c r="B375" s="16"/>
    </row>
    <row r="376" ht="14.25" customHeight="1">
      <c r="B376" s="16"/>
    </row>
    <row r="377" ht="14.25" customHeight="1">
      <c r="B377" s="16"/>
    </row>
    <row r="378" ht="14.25" customHeight="1">
      <c r="B378" s="16"/>
    </row>
    <row r="379" ht="14.25" customHeight="1">
      <c r="B379" s="16"/>
    </row>
    <row r="380" ht="14.25" customHeight="1">
      <c r="B380" s="16"/>
    </row>
    <row r="381" ht="14.25" customHeight="1">
      <c r="B381" s="16"/>
    </row>
    <row r="382" ht="14.25" customHeight="1">
      <c r="B382" s="16"/>
    </row>
    <row r="383" ht="14.25" customHeight="1">
      <c r="B383" s="16"/>
    </row>
    <row r="384" ht="14.25" customHeight="1">
      <c r="B384" s="16"/>
    </row>
    <row r="385" ht="14.25" customHeight="1">
      <c r="B385" s="16"/>
    </row>
    <row r="386" ht="14.25" customHeight="1">
      <c r="B386" s="16"/>
    </row>
    <row r="387" ht="14.25" customHeight="1">
      <c r="B387" s="16"/>
    </row>
    <row r="388" ht="14.25" customHeight="1">
      <c r="B388" s="16"/>
    </row>
    <row r="389" ht="14.25" customHeight="1">
      <c r="B389" s="16"/>
    </row>
    <row r="390" ht="14.25" customHeight="1">
      <c r="B390" s="16"/>
    </row>
    <row r="391" ht="14.25" customHeight="1">
      <c r="B391" s="16"/>
    </row>
    <row r="392" ht="14.25" customHeight="1">
      <c r="B392" s="16"/>
    </row>
    <row r="393" ht="14.25" customHeight="1">
      <c r="B393" s="16"/>
    </row>
    <row r="394" ht="14.25" customHeight="1">
      <c r="B394" s="16"/>
    </row>
    <row r="395" ht="14.25" customHeight="1">
      <c r="B395" s="16"/>
    </row>
    <row r="396" ht="14.25" customHeight="1">
      <c r="B396" s="16"/>
    </row>
    <row r="397" ht="14.25" customHeight="1">
      <c r="B397" s="16"/>
    </row>
    <row r="398" ht="14.25" customHeight="1">
      <c r="B398" s="16"/>
    </row>
    <row r="399" ht="14.25" customHeight="1">
      <c r="B399" s="16"/>
    </row>
    <row r="400" ht="14.25" customHeight="1">
      <c r="B400" s="16"/>
    </row>
    <row r="401" ht="14.25" customHeight="1">
      <c r="B401" s="16"/>
    </row>
    <row r="402" ht="14.25" customHeight="1">
      <c r="B402" s="16"/>
    </row>
    <row r="403" ht="14.25" customHeight="1">
      <c r="B403" s="16"/>
    </row>
    <row r="404" ht="14.25" customHeight="1">
      <c r="B404" s="16"/>
    </row>
    <row r="405" ht="14.25" customHeight="1">
      <c r="B405" s="16"/>
    </row>
    <row r="406" ht="14.25" customHeight="1">
      <c r="B406" s="16"/>
    </row>
    <row r="407" ht="14.25" customHeight="1">
      <c r="B407" s="16"/>
    </row>
    <row r="408" ht="14.25" customHeight="1">
      <c r="B408" s="16"/>
    </row>
    <row r="409" ht="14.25" customHeight="1">
      <c r="B409" s="16"/>
    </row>
    <row r="410" ht="14.25" customHeight="1">
      <c r="B410" s="16"/>
    </row>
    <row r="411" ht="14.25" customHeight="1">
      <c r="B411" s="16"/>
    </row>
    <row r="412" ht="14.25" customHeight="1">
      <c r="B412" s="16"/>
    </row>
    <row r="413" ht="14.25" customHeight="1">
      <c r="B413" s="16"/>
    </row>
    <row r="414" ht="14.25" customHeight="1">
      <c r="B414" s="16"/>
    </row>
    <row r="415" ht="14.25" customHeight="1">
      <c r="B415" s="16"/>
    </row>
    <row r="416" ht="14.25" customHeight="1">
      <c r="B416" s="16"/>
    </row>
    <row r="417" ht="14.25" customHeight="1">
      <c r="B417" s="16"/>
    </row>
    <row r="418" ht="14.25" customHeight="1">
      <c r="B418" s="16"/>
    </row>
    <row r="419" ht="14.25" customHeight="1">
      <c r="B419" s="16"/>
    </row>
    <row r="420" ht="14.25" customHeight="1">
      <c r="B420" s="16"/>
    </row>
    <row r="421" ht="14.25" customHeight="1">
      <c r="B421" s="16"/>
    </row>
    <row r="422" ht="14.25" customHeight="1">
      <c r="B422" s="16"/>
    </row>
    <row r="423" ht="14.25" customHeight="1">
      <c r="B423" s="16"/>
    </row>
    <row r="424" ht="14.25" customHeight="1">
      <c r="B424" s="16"/>
    </row>
    <row r="425" ht="14.25" customHeight="1">
      <c r="B425" s="16"/>
    </row>
    <row r="426" ht="14.25" customHeight="1">
      <c r="B426" s="16"/>
    </row>
    <row r="427" ht="14.25" customHeight="1">
      <c r="B427" s="16"/>
    </row>
    <row r="428" ht="14.25" customHeight="1">
      <c r="B428" s="16"/>
    </row>
    <row r="429" ht="14.25" customHeight="1">
      <c r="B429" s="16"/>
    </row>
    <row r="430" ht="14.25" customHeight="1">
      <c r="B430" s="16"/>
    </row>
    <row r="431" ht="14.25" customHeight="1">
      <c r="B431" s="16"/>
    </row>
    <row r="432" ht="14.25" customHeight="1">
      <c r="B432" s="16"/>
    </row>
    <row r="433" ht="14.25" customHeight="1">
      <c r="B433" s="16"/>
    </row>
    <row r="434" ht="14.25" customHeight="1">
      <c r="B434" s="16"/>
    </row>
    <row r="435" ht="14.25" customHeight="1">
      <c r="B435" s="16"/>
    </row>
    <row r="436" ht="14.25" customHeight="1">
      <c r="B436" s="16"/>
    </row>
    <row r="437" ht="14.25" customHeight="1">
      <c r="B437" s="16"/>
    </row>
    <row r="438" ht="14.25" customHeight="1">
      <c r="B438" s="16"/>
    </row>
    <row r="439" ht="14.25" customHeight="1">
      <c r="B439" s="16"/>
    </row>
    <row r="440" ht="14.25" customHeight="1">
      <c r="B440" s="16"/>
    </row>
    <row r="441" ht="14.25" customHeight="1">
      <c r="B441" s="16"/>
    </row>
    <row r="442" ht="14.25" customHeight="1">
      <c r="B442" s="16"/>
    </row>
    <row r="443" ht="14.25" customHeight="1">
      <c r="B443" s="16"/>
    </row>
    <row r="444" ht="14.25" customHeight="1">
      <c r="B444" s="16"/>
    </row>
    <row r="445" ht="14.25" customHeight="1">
      <c r="B445" s="16"/>
    </row>
    <row r="446" ht="14.25" customHeight="1">
      <c r="B446" s="16"/>
    </row>
    <row r="447" ht="14.25" customHeight="1">
      <c r="B447" s="16"/>
    </row>
    <row r="448" ht="14.25" customHeight="1">
      <c r="B448" s="16"/>
    </row>
    <row r="449" ht="14.25" customHeight="1">
      <c r="B449" s="16"/>
    </row>
    <row r="450" ht="14.25" customHeight="1">
      <c r="B450" s="16"/>
    </row>
    <row r="451" ht="14.25" customHeight="1">
      <c r="B451" s="16"/>
    </row>
    <row r="452" ht="14.25" customHeight="1">
      <c r="B452" s="16"/>
    </row>
    <row r="453" ht="14.25" customHeight="1">
      <c r="B453" s="16"/>
    </row>
    <row r="454" ht="14.25" customHeight="1">
      <c r="B454" s="16"/>
    </row>
    <row r="455" ht="14.25" customHeight="1">
      <c r="B455" s="16"/>
    </row>
    <row r="456" ht="14.25" customHeight="1">
      <c r="B456" s="16"/>
    </row>
    <row r="457" ht="14.25" customHeight="1">
      <c r="B457" s="16"/>
    </row>
    <row r="458" ht="14.25" customHeight="1">
      <c r="B458" s="16"/>
    </row>
    <row r="459" ht="14.25" customHeight="1">
      <c r="B459" s="16"/>
    </row>
    <row r="460" ht="14.25" customHeight="1">
      <c r="B460" s="16"/>
    </row>
    <row r="461" ht="14.25" customHeight="1">
      <c r="B461" s="16"/>
    </row>
    <row r="462" ht="14.25" customHeight="1">
      <c r="B462" s="16"/>
    </row>
    <row r="463" ht="14.25" customHeight="1">
      <c r="B463" s="16"/>
    </row>
    <row r="464" ht="14.25" customHeight="1">
      <c r="B464" s="16"/>
    </row>
    <row r="465" ht="14.25" customHeight="1">
      <c r="B465" s="16"/>
    </row>
    <row r="466" ht="14.25" customHeight="1">
      <c r="B466" s="16"/>
    </row>
    <row r="467" ht="14.25" customHeight="1">
      <c r="B467" s="16"/>
    </row>
    <row r="468" ht="14.25" customHeight="1">
      <c r="B468" s="16"/>
    </row>
    <row r="469" ht="14.25" customHeight="1">
      <c r="B469" s="16"/>
    </row>
    <row r="470" ht="14.25" customHeight="1">
      <c r="B470" s="16"/>
    </row>
    <row r="471" ht="14.25" customHeight="1">
      <c r="B471" s="16"/>
    </row>
    <row r="472" ht="14.25" customHeight="1">
      <c r="B472" s="16"/>
    </row>
    <row r="473" ht="14.25" customHeight="1">
      <c r="B473" s="16"/>
    </row>
    <row r="474" ht="14.25" customHeight="1">
      <c r="B474" s="16"/>
    </row>
    <row r="475" ht="14.25" customHeight="1">
      <c r="B475" s="16"/>
    </row>
    <row r="476" ht="14.25" customHeight="1">
      <c r="B476" s="16"/>
    </row>
    <row r="477" ht="14.25" customHeight="1">
      <c r="B477" s="16"/>
    </row>
    <row r="478" ht="14.25" customHeight="1">
      <c r="B478" s="16"/>
    </row>
    <row r="479" ht="14.25" customHeight="1">
      <c r="B479" s="16"/>
    </row>
    <row r="480" ht="14.25" customHeight="1">
      <c r="B480" s="16"/>
    </row>
    <row r="481" ht="14.25" customHeight="1">
      <c r="B481" s="16"/>
    </row>
    <row r="482" ht="14.25" customHeight="1">
      <c r="B482" s="16"/>
    </row>
    <row r="483" ht="14.25" customHeight="1">
      <c r="B483" s="16"/>
    </row>
    <row r="484" ht="14.25" customHeight="1">
      <c r="B484" s="16"/>
    </row>
    <row r="485" ht="14.25" customHeight="1">
      <c r="B485" s="16"/>
    </row>
    <row r="486" ht="14.25" customHeight="1">
      <c r="B486" s="16"/>
    </row>
    <row r="487" ht="14.25" customHeight="1">
      <c r="B487" s="16"/>
    </row>
    <row r="488" ht="14.25" customHeight="1">
      <c r="B488" s="16"/>
    </row>
    <row r="489" ht="14.25" customHeight="1">
      <c r="B489" s="16"/>
    </row>
    <row r="490" ht="14.25" customHeight="1">
      <c r="B490" s="16"/>
    </row>
    <row r="491" ht="14.25" customHeight="1">
      <c r="B491" s="16"/>
    </row>
    <row r="492" ht="14.25" customHeight="1">
      <c r="B492" s="16"/>
    </row>
    <row r="493" ht="14.25" customHeight="1">
      <c r="B493" s="16"/>
    </row>
    <row r="494" ht="14.25" customHeight="1">
      <c r="B494" s="16"/>
    </row>
    <row r="495" ht="14.25" customHeight="1">
      <c r="B495" s="16"/>
    </row>
    <row r="496" ht="14.25" customHeight="1">
      <c r="B496" s="16"/>
    </row>
    <row r="497" ht="14.25" customHeight="1">
      <c r="B497" s="16"/>
    </row>
    <row r="498" ht="14.25" customHeight="1">
      <c r="B498" s="16"/>
    </row>
    <row r="499" ht="14.25" customHeight="1">
      <c r="B499" s="16"/>
    </row>
    <row r="500" ht="14.25" customHeight="1">
      <c r="B500" s="16"/>
    </row>
    <row r="501" ht="14.25" customHeight="1">
      <c r="B501" s="16"/>
    </row>
    <row r="502" ht="14.25" customHeight="1">
      <c r="B502" s="16"/>
    </row>
    <row r="503" ht="14.25" customHeight="1">
      <c r="B503" s="16"/>
    </row>
    <row r="504" ht="14.25" customHeight="1">
      <c r="B504" s="16"/>
    </row>
    <row r="505" ht="14.25" customHeight="1">
      <c r="B505" s="16"/>
    </row>
    <row r="506" ht="14.25" customHeight="1">
      <c r="B506" s="16"/>
    </row>
    <row r="507" ht="14.25" customHeight="1">
      <c r="B507" s="16"/>
    </row>
    <row r="508" ht="14.25" customHeight="1">
      <c r="B508" s="16"/>
    </row>
    <row r="509" ht="14.25" customHeight="1">
      <c r="B509" s="16"/>
    </row>
    <row r="510" ht="14.25" customHeight="1">
      <c r="B510" s="16"/>
    </row>
    <row r="511" ht="14.25" customHeight="1">
      <c r="B511" s="16"/>
    </row>
    <row r="512" ht="14.25" customHeight="1">
      <c r="B512" s="16"/>
    </row>
    <row r="513" ht="14.25" customHeight="1">
      <c r="B513" s="16"/>
    </row>
    <row r="514" ht="14.25" customHeight="1">
      <c r="B514" s="16"/>
    </row>
    <row r="515" ht="14.25" customHeight="1">
      <c r="B515" s="16"/>
    </row>
    <row r="516" ht="14.25" customHeight="1">
      <c r="B516" s="16"/>
    </row>
    <row r="517" ht="14.25" customHeight="1">
      <c r="B517" s="16"/>
    </row>
    <row r="518" ht="14.25" customHeight="1">
      <c r="B518" s="16"/>
    </row>
    <row r="519" ht="14.25" customHeight="1">
      <c r="B519" s="16"/>
    </row>
    <row r="520" ht="14.25" customHeight="1">
      <c r="B520" s="16"/>
    </row>
    <row r="521" ht="14.25" customHeight="1">
      <c r="B521" s="16"/>
    </row>
    <row r="522" ht="14.25" customHeight="1">
      <c r="B522" s="16"/>
    </row>
    <row r="523" ht="14.25" customHeight="1">
      <c r="B523" s="16"/>
    </row>
    <row r="524" ht="14.25" customHeight="1">
      <c r="B524" s="16"/>
    </row>
    <row r="525" ht="14.25" customHeight="1">
      <c r="B525" s="16"/>
    </row>
    <row r="526" ht="14.25" customHeight="1">
      <c r="B526" s="16"/>
    </row>
    <row r="527" ht="14.25" customHeight="1">
      <c r="B527" s="16"/>
    </row>
    <row r="528" ht="14.25" customHeight="1">
      <c r="B528" s="16"/>
    </row>
    <row r="529" ht="14.25" customHeight="1">
      <c r="B529" s="16"/>
    </row>
    <row r="530" ht="14.25" customHeight="1">
      <c r="B530" s="16"/>
    </row>
    <row r="531" ht="14.25" customHeight="1">
      <c r="B531" s="16"/>
    </row>
    <row r="532" ht="14.25" customHeight="1">
      <c r="B532" s="16"/>
    </row>
    <row r="533" ht="14.25" customHeight="1">
      <c r="B533" s="16"/>
    </row>
    <row r="534" ht="14.25" customHeight="1">
      <c r="B534" s="16"/>
    </row>
    <row r="535" ht="14.25" customHeight="1">
      <c r="B535" s="16"/>
    </row>
    <row r="536" ht="14.25" customHeight="1">
      <c r="B536" s="16"/>
    </row>
    <row r="537" ht="14.25" customHeight="1">
      <c r="B537" s="16"/>
    </row>
    <row r="538" ht="14.25" customHeight="1">
      <c r="B538" s="16"/>
    </row>
    <row r="539" ht="14.25" customHeight="1">
      <c r="B539" s="16"/>
    </row>
    <row r="540" ht="14.25" customHeight="1">
      <c r="B540" s="16"/>
    </row>
    <row r="541" ht="14.25" customHeight="1">
      <c r="B541" s="16"/>
    </row>
    <row r="542" ht="14.25" customHeight="1">
      <c r="B542" s="16"/>
    </row>
    <row r="543" ht="14.25" customHeight="1">
      <c r="B543" s="16"/>
    </row>
    <row r="544" ht="14.25" customHeight="1">
      <c r="B544" s="16"/>
    </row>
    <row r="545" ht="14.25" customHeight="1">
      <c r="B545" s="16"/>
    </row>
    <row r="546" ht="14.25" customHeight="1">
      <c r="B546" s="16"/>
    </row>
    <row r="547" ht="14.25" customHeight="1">
      <c r="B547" s="16"/>
    </row>
    <row r="548" ht="14.25" customHeight="1">
      <c r="B548" s="16"/>
    </row>
    <row r="549" ht="14.25" customHeight="1">
      <c r="B549" s="16"/>
    </row>
    <row r="550" ht="14.25" customHeight="1">
      <c r="B550" s="16"/>
    </row>
    <row r="551" ht="14.25" customHeight="1">
      <c r="B551" s="16"/>
    </row>
    <row r="552" ht="14.25" customHeight="1">
      <c r="B552" s="16"/>
    </row>
    <row r="553" ht="14.25" customHeight="1">
      <c r="B553" s="16"/>
    </row>
    <row r="554" ht="14.25" customHeight="1">
      <c r="B554" s="16"/>
    </row>
    <row r="555" ht="14.25" customHeight="1">
      <c r="B555" s="16"/>
    </row>
    <row r="556" ht="14.25" customHeight="1">
      <c r="B556" s="16"/>
    </row>
    <row r="557" ht="14.25" customHeight="1">
      <c r="B557" s="16"/>
    </row>
    <row r="558" ht="14.25" customHeight="1">
      <c r="B558" s="16"/>
    </row>
    <row r="559" ht="14.25" customHeight="1">
      <c r="B559" s="16"/>
    </row>
    <row r="560" ht="14.25" customHeight="1">
      <c r="B560" s="16"/>
    </row>
    <row r="561" ht="14.25" customHeight="1">
      <c r="B561" s="16"/>
    </row>
    <row r="562" ht="14.25" customHeight="1">
      <c r="B562" s="16"/>
    </row>
    <row r="563" ht="14.25" customHeight="1">
      <c r="B563" s="16"/>
    </row>
    <row r="564" ht="14.25" customHeight="1">
      <c r="B564" s="16"/>
    </row>
    <row r="565" ht="14.25" customHeight="1">
      <c r="B565" s="16"/>
    </row>
    <row r="566" ht="14.25" customHeight="1">
      <c r="B566" s="16"/>
    </row>
    <row r="567" ht="14.25" customHeight="1">
      <c r="B567" s="16"/>
    </row>
    <row r="568" ht="14.25" customHeight="1">
      <c r="B568" s="16"/>
    </row>
    <row r="569" ht="14.25" customHeight="1">
      <c r="B569" s="16"/>
    </row>
    <row r="570" ht="14.25" customHeight="1">
      <c r="B570" s="16"/>
    </row>
    <row r="571" ht="14.25" customHeight="1">
      <c r="B571" s="16"/>
    </row>
    <row r="572" ht="14.25" customHeight="1">
      <c r="B572" s="16"/>
    </row>
    <row r="573" ht="14.25" customHeight="1">
      <c r="B573" s="16"/>
    </row>
    <row r="574" ht="14.25" customHeight="1">
      <c r="B574" s="16"/>
    </row>
    <row r="575" ht="14.25" customHeight="1">
      <c r="B575" s="16"/>
    </row>
    <row r="576" ht="14.25" customHeight="1">
      <c r="B576" s="16"/>
    </row>
    <row r="577" ht="14.25" customHeight="1">
      <c r="B577" s="16"/>
    </row>
    <row r="578" ht="14.25" customHeight="1">
      <c r="B578" s="16"/>
    </row>
    <row r="579" ht="14.25" customHeight="1">
      <c r="B579" s="16"/>
    </row>
    <row r="580" ht="14.25" customHeight="1">
      <c r="B580" s="16"/>
    </row>
    <row r="581" ht="14.25" customHeight="1">
      <c r="B581" s="16"/>
    </row>
    <row r="582" ht="14.25" customHeight="1">
      <c r="B582" s="16"/>
    </row>
    <row r="583" ht="14.25" customHeight="1">
      <c r="B583" s="16"/>
    </row>
    <row r="584" ht="14.25" customHeight="1">
      <c r="B584" s="16"/>
    </row>
    <row r="585" ht="14.25" customHeight="1">
      <c r="B585" s="16"/>
    </row>
    <row r="586" ht="14.25" customHeight="1">
      <c r="B586" s="16"/>
    </row>
    <row r="587" ht="14.25" customHeight="1">
      <c r="B587" s="16"/>
    </row>
    <row r="588" ht="14.25" customHeight="1">
      <c r="B588" s="16"/>
    </row>
    <row r="589" ht="14.25" customHeight="1">
      <c r="B589" s="16"/>
    </row>
    <row r="590" ht="14.25" customHeight="1">
      <c r="B590" s="16"/>
    </row>
    <row r="591" ht="14.25" customHeight="1">
      <c r="B591" s="16"/>
    </row>
    <row r="592" ht="14.25" customHeight="1">
      <c r="B592" s="16"/>
    </row>
    <row r="593" ht="14.25" customHeight="1">
      <c r="B593" s="16"/>
    </row>
    <row r="594" ht="14.25" customHeight="1">
      <c r="B594" s="16"/>
    </row>
    <row r="595" ht="14.25" customHeight="1">
      <c r="B595" s="16"/>
    </row>
    <row r="596" ht="14.25" customHeight="1">
      <c r="B596" s="16"/>
    </row>
    <row r="597" ht="14.25" customHeight="1">
      <c r="B597" s="16"/>
    </row>
    <row r="598" ht="14.25" customHeight="1">
      <c r="B598" s="16"/>
    </row>
    <row r="599" ht="14.25" customHeight="1">
      <c r="B599" s="16"/>
    </row>
    <row r="600" ht="14.25" customHeight="1">
      <c r="B600" s="16"/>
    </row>
    <row r="601" ht="14.25" customHeight="1">
      <c r="B601" s="16"/>
    </row>
    <row r="602" ht="14.25" customHeight="1">
      <c r="B602" s="16"/>
    </row>
    <row r="603" ht="14.25" customHeight="1">
      <c r="B603" s="16"/>
    </row>
    <row r="604" ht="14.25" customHeight="1">
      <c r="B604" s="16"/>
    </row>
    <row r="605" ht="14.25" customHeight="1">
      <c r="B605" s="16"/>
    </row>
    <row r="606" ht="14.25" customHeight="1">
      <c r="B606" s="16"/>
    </row>
    <row r="607" ht="14.25" customHeight="1">
      <c r="B607" s="16"/>
    </row>
    <row r="608" ht="14.25" customHeight="1">
      <c r="B608" s="16"/>
    </row>
    <row r="609" ht="14.25" customHeight="1">
      <c r="B609" s="16"/>
    </row>
    <row r="610" ht="14.25" customHeight="1">
      <c r="B610" s="16"/>
    </row>
    <row r="611" ht="14.25" customHeight="1">
      <c r="B611" s="16"/>
    </row>
    <row r="612" ht="14.25" customHeight="1">
      <c r="B612" s="16"/>
    </row>
    <row r="613" ht="14.25" customHeight="1">
      <c r="B613" s="16"/>
    </row>
    <row r="614" ht="14.25" customHeight="1">
      <c r="B614" s="16"/>
    </row>
    <row r="615" ht="14.25" customHeight="1">
      <c r="B615" s="16"/>
    </row>
    <row r="616" ht="14.25" customHeight="1">
      <c r="B616" s="16"/>
    </row>
    <row r="617" ht="14.25" customHeight="1">
      <c r="B617" s="16"/>
    </row>
    <row r="618" ht="14.25" customHeight="1">
      <c r="B618" s="16"/>
    </row>
    <row r="619" ht="14.25" customHeight="1">
      <c r="B619" s="16"/>
    </row>
    <row r="620" ht="14.25" customHeight="1">
      <c r="B620" s="16"/>
    </row>
    <row r="621" ht="14.25" customHeight="1">
      <c r="B621" s="16"/>
    </row>
    <row r="622" ht="14.25" customHeight="1">
      <c r="B622" s="16"/>
    </row>
    <row r="623" ht="14.25" customHeight="1">
      <c r="B623" s="16"/>
    </row>
    <row r="624" ht="14.25" customHeight="1">
      <c r="B624" s="16"/>
    </row>
    <row r="625" ht="14.25" customHeight="1">
      <c r="B625" s="16"/>
    </row>
    <row r="626" ht="14.25" customHeight="1">
      <c r="B626" s="16"/>
    </row>
    <row r="627" ht="14.25" customHeight="1">
      <c r="B627" s="16"/>
    </row>
    <row r="628" ht="14.25" customHeight="1">
      <c r="B628" s="16"/>
    </row>
    <row r="629" ht="14.25" customHeight="1">
      <c r="B629" s="16"/>
    </row>
    <row r="630" ht="14.25" customHeight="1">
      <c r="B630" s="16"/>
    </row>
    <row r="631" ht="14.25" customHeight="1">
      <c r="B631" s="16"/>
    </row>
    <row r="632" ht="14.25" customHeight="1">
      <c r="B632" s="16"/>
    </row>
    <row r="633" ht="14.25" customHeight="1">
      <c r="B633" s="16"/>
    </row>
    <row r="634" ht="14.25" customHeight="1">
      <c r="B634" s="16"/>
    </row>
    <row r="635" ht="14.25" customHeight="1">
      <c r="B635" s="16"/>
    </row>
    <row r="636" ht="14.25" customHeight="1">
      <c r="B636" s="16"/>
    </row>
    <row r="637" ht="14.25" customHeight="1">
      <c r="B637" s="16"/>
    </row>
    <row r="638" ht="14.25" customHeight="1">
      <c r="B638" s="16"/>
    </row>
    <row r="639" ht="14.25" customHeight="1">
      <c r="B639" s="16"/>
    </row>
    <row r="640" ht="14.25" customHeight="1">
      <c r="B640" s="16"/>
    </row>
    <row r="641" ht="14.25" customHeight="1">
      <c r="B641" s="16"/>
    </row>
    <row r="642" ht="14.25" customHeight="1">
      <c r="B642" s="16"/>
    </row>
    <row r="643" ht="14.25" customHeight="1">
      <c r="B643" s="16"/>
    </row>
    <row r="644" ht="14.25" customHeight="1">
      <c r="B644" s="16"/>
    </row>
    <row r="645" ht="14.25" customHeight="1">
      <c r="B645" s="16"/>
    </row>
    <row r="646" ht="14.25" customHeight="1">
      <c r="B646" s="16"/>
    </row>
    <row r="647" ht="14.25" customHeight="1">
      <c r="B647" s="16"/>
    </row>
    <row r="648" ht="14.25" customHeight="1">
      <c r="B648" s="16"/>
    </row>
    <row r="649" ht="14.25" customHeight="1">
      <c r="B649" s="16"/>
    </row>
    <row r="650" ht="14.25" customHeight="1">
      <c r="B650" s="16"/>
    </row>
    <row r="651" ht="14.25" customHeight="1">
      <c r="B651" s="16"/>
    </row>
    <row r="652" ht="14.25" customHeight="1">
      <c r="B652" s="16"/>
    </row>
    <row r="653" ht="14.25" customHeight="1">
      <c r="B653" s="16"/>
    </row>
    <row r="654" ht="14.25" customHeight="1">
      <c r="B654" s="16"/>
    </row>
    <row r="655" ht="14.25" customHeight="1">
      <c r="B655" s="16"/>
    </row>
    <row r="656" ht="14.25" customHeight="1">
      <c r="B656" s="16"/>
    </row>
    <row r="657" ht="14.25" customHeight="1">
      <c r="B657" s="16"/>
    </row>
    <row r="658" ht="14.25" customHeight="1">
      <c r="B658" s="16"/>
    </row>
    <row r="659" ht="14.25" customHeight="1">
      <c r="B659" s="16"/>
    </row>
    <row r="660" ht="14.25" customHeight="1">
      <c r="B660" s="16"/>
    </row>
    <row r="661" ht="14.25" customHeight="1">
      <c r="B661" s="16"/>
    </row>
    <row r="662" ht="14.25" customHeight="1">
      <c r="B662" s="16"/>
    </row>
    <row r="663" ht="14.25" customHeight="1">
      <c r="B663" s="16"/>
    </row>
    <row r="664" ht="14.25" customHeight="1">
      <c r="B664" s="16"/>
    </row>
    <row r="665" ht="14.25" customHeight="1">
      <c r="B665" s="16"/>
    </row>
    <row r="666" ht="14.25" customHeight="1">
      <c r="B666" s="16"/>
    </row>
    <row r="667" ht="14.25" customHeight="1">
      <c r="B667" s="16"/>
    </row>
    <row r="668" ht="14.25" customHeight="1">
      <c r="B668" s="16"/>
    </row>
    <row r="669" ht="14.25" customHeight="1">
      <c r="B669" s="16"/>
    </row>
    <row r="670" ht="14.25" customHeight="1">
      <c r="B670" s="16"/>
    </row>
    <row r="671" ht="14.25" customHeight="1">
      <c r="B671" s="16"/>
    </row>
    <row r="672" ht="14.25" customHeight="1">
      <c r="B672" s="16"/>
    </row>
    <row r="673" ht="14.25" customHeight="1">
      <c r="B673" s="16"/>
    </row>
    <row r="674" ht="14.25" customHeight="1">
      <c r="B674" s="16"/>
    </row>
    <row r="675" ht="14.25" customHeight="1">
      <c r="B675" s="16"/>
    </row>
    <row r="676" ht="14.25" customHeight="1">
      <c r="B676" s="16"/>
    </row>
    <row r="677" ht="14.25" customHeight="1">
      <c r="B677" s="16"/>
    </row>
    <row r="678" ht="14.25" customHeight="1">
      <c r="B678" s="16"/>
    </row>
    <row r="679" ht="14.25" customHeight="1">
      <c r="B679" s="16"/>
    </row>
    <row r="680" ht="14.25" customHeight="1">
      <c r="B680" s="16"/>
    </row>
    <row r="681" ht="14.25" customHeight="1">
      <c r="B681" s="16"/>
    </row>
    <row r="682" ht="14.25" customHeight="1">
      <c r="B682" s="16"/>
    </row>
    <row r="683" ht="14.25" customHeight="1">
      <c r="B683" s="16"/>
    </row>
    <row r="684" ht="14.25" customHeight="1">
      <c r="B684" s="16"/>
    </row>
    <row r="685" ht="14.25" customHeight="1">
      <c r="B685" s="16"/>
    </row>
    <row r="686" ht="14.25" customHeight="1">
      <c r="B686" s="16"/>
    </row>
    <row r="687" ht="14.25" customHeight="1">
      <c r="B687" s="16"/>
    </row>
    <row r="688" ht="14.25" customHeight="1">
      <c r="B688" s="16"/>
    </row>
    <row r="689" ht="14.25" customHeight="1">
      <c r="B689" s="16"/>
    </row>
    <row r="690" ht="14.25" customHeight="1">
      <c r="B690" s="16"/>
    </row>
    <row r="691" ht="14.25" customHeight="1">
      <c r="B691" s="16"/>
    </row>
    <row r="692" ht="14.25" customHeight="1">
      <c r="B692" s="16"/>
    </row>
    <row r="693" ht="14.25" customHeight="1">
      <c r="B693" s="16"/>
    </row>
    <row r="694" ht="14.25" customHeight="1">
      <c r="B694" s="16"/>
    </row>
    <row r="695" ht="14.25" customHeight="1">
      <c r="B695" s="16"/>
    </row>
    <row r="696" ht="14.25" customHeight="1">
      <c r="B696" s="16"/>
    </row>
    <row r="697" ht="14.25" customHeight="1">
      <c r="B697" s="16"/>
    </row>
    <row r="698" ht="14.25" customHeight="1">
      <c r="B698" s="16"/>
    </row>
    <row r="699" ht="14.25" customHeight="1">
      <c r="B699" s="16"/>
    </row>
    <row r="700" ht="14.25" customHeight="1">
      <c r="B700" s="16"/>
    </row>
    <row r="701" ht="14.25" customHeight="1">
      <c r="B701" s="16"/>
    </row>
    <row r="702" ht="14.25" customHeight="1">
      <c r="B702" s="16"/>
    </row>
    <row r="703" ht="14.25" customHeight="1">
      <c r="B703" s="16"/>
    </row>
    <row r="704" ht="14.25" customHeight="1">
      <c r="B704" s="16"/>
    </row>
    <row r="705" ht="14.25" customHeight="1">
      <c r="B705" s="16"/>
    </row>
    <row r="706" ht="14.25" customHeight="1">
      <c r="B706" s="16"/>
    </row>
    <row r="707" ht="14.25" customHeight="1">
      <c r="B707" s="16"/>
    </row>
    <row r="708" ht="14.25" customHeight="1">
      <c r="B708" s="16"/>
    </row>
    <row r="709" ht="14.25" customHeight="1">
      <c r="B709" s="16"/>
    </row>
    <row r="710" ht="14.25" customHeight="1">
      <c r="B710" s="16"/>
    </row>
    <row r="711" ht="14.25" customHeight="1">
      <c r="B711" s="16"/>
    </row>
    <row r="712" ht="14.25" customHeight="1">
      <c r="B712" s="16"/>
    </row>
    <row r="713" ht="14.25" customHeight="1">
      <c r="B713" s="16"/>
    </row>
    <row r="714" ht="14.25" customHeight="1">
      <c r="B714" s="16"/>
    </row>
    <row r="715" ht="14.25" customHeight="1">
      <c r="B715" s="16"/>
    </row>
    <row r="716" ht="14.25" customHeight="1">
      <c r="B716" s="16"/>
    </row>
    <row r="717" ht="14.25" customHeight="1">
      <c r="B717" s="16"/>
    </row>
    <row r="718" ht="14.25" customHeight="1">
      <c r="B718" s="16"/>
    </row>
    <row r="719" ht="14.25" customHeight="1">
      <c r="B719" s="16"/>
    </row>
    <row r="720" ht="14.25" customHeight="1">
      <c r="B720" s="16"/>
    </row>
    <row r="721" ht="14.25" customHeight="1">
      <c r="B721" s="16"/>
    </row>
    <row r="722" ht="14.25" customHeight="1">
      <c r="B722" s="16"/>
    </row>
    <row r="723" ht="14.25" customHeight="1">
      <c r="B723" s="16"/>
    </row>
    <row r="724" ht="14.25" customHeight="1">
      <c r="B724" s="16"/>
    </row>
    <row r="725" ht="14.25" customHeight="1">
      <c r="B725" s="16"/>
    </row>
    <row r="726" ht="14.25" customHeight="1">
      <c r="B726" s="16"/>
    </row>
    <row r="727" ht="14.25" customHeight="1">
      <c r="B727" s="16"/>
    </row>
    <row r="728" ht="14.25" customHeight="1">
      <c r="B728" s="16"/>
    </row>
    <row r="729" ht="14.25" customHeight="1">
      <c r="B729" s="16"/>
    </row>
    <row r="730" ht="14.25" customHeight="1">
      <c r="B730" s="16"/>
    </row>
    <row r="731" ht="14.25" customHeight="1">
      <c r="B731" s="16"/>
    </row>
    <row r="732" ht="14.25" customHeight="1">
      <c r="B732" s="16"/>
    </row>
    <row r="733" ht="14.25" customHeight="1">
      <c r="B733" s="16"/>
    </row>
    <row r="734" ht="14.25" customHeight="1">
      <c r="B734" s="16"/>
    </row>
    <row r="735" ht="14.25" customHeight="1">
      <c r="B735" s="16"/>
    </row>
    <row r="736" ht="14.25" customHeight="1">
      <c r="B736" s="16"/>
    </row>
    <row r="737" ht="14.25" customHeight="1">
      <c r="B737" s="16"/>
    </row>
    <row r="738" ht="14.25" customHeight="1">
      <c r="B738" s="16"/>
    </row>
    <row r="739" ht="14.25" customHeight="1">
      <c r="B739" s="16"/>
    </row>
    <row r="740" ht="14.25" customHeight="1">
      <c r="B740" s="16"/>
    </row>
    <row r="741" ht="14.25" customHeight="1">
      <c r="B741" s="16"/>
    </row>
    <row r="742" ht="14.25" customHeight="1">
      <c r="B742" s="16"/>
    </row>
    <row r="743" ht="14.25" customHeight="1">
      <c r="B743" s="16"/>
    </row>
    <row r="744" ht="14.25" customHeight="1">
      <c r="B744" s="16"/>
    </row>
    <row r="745" ht="14.25" customHeight="1">
      <c r="B745" s="16"/>
    </row>
    <row r="746" ht="14.25" customHeight="1">
      <c r="B746" s="16"/>
    </row>
    <row r="747" ht="14.25" customHeight="1">
      <c r="B747" s="16"/>
    </row>
    <row r="748" ht="14.25" customHeight="1">
      <c r="B748" s="16"/>
    </row>
    <row r="749" ht="14.25" customHeight="1">
      <c r="B749" s="16"/>
    </row>
    <row r="750" ht="14.25" customHeight="1">
      <c r="B750" s="16"/>
    </row>
    <row r="751" ht="14.25" customHeight="1">
      <c r="B751" s="16"/>
    </row>
    <row r="752" ht="14.25" customHeight="1">
      <c r="B752" s="16"/>
    </row>
    <row r="753" ht="14.25" customHeight="1">
      <c r="B753" s="16"/>
    </row>
    <row r="754" ht="14.25" customHeight="1">
      <c r="B754" s="16"/>
    </row>
    <row r="755" ht="14.25" customHeight="1">
      <c r="B755" s="16"/>
    </row>
    <row r="756" ht="14.25" customHeight="1">
      <c r="B756" s="16"/>
    </row>
    <row r="757" ht="14.25" customHeight="1">
      <c r="B757" s="16"/>
    </row>
    <row r="758" ht="14.25" customHeight="1">
      <c r="B758" s="16"/>
    </row>
    <row r="759" ht="14.25" customHeight="1">
      <c r="B759" s="16"/>
    </row>
    <row r="760" ht="14.25" customHeight="1">
      <c r="B760" s="16"/>
    </row>
    <row r="761" ht="14.25" customHeight="1">
      <c r="B761" s="16"/>
    </row>
    <row r="762" ht="14.25" customHeight="1">
      <c r="B762" s="16"/>
    </row>
    <row r="763" ht="14.25" customHeight="1">
      <c r="B763" s="16"/>
    </row>
    <row r="764" ht="14.25" customHeight="1">
      <c r="B764" s="16"/>
    </row>
    <row r="765" ht="14.25" customHeight="1">
      <c r="B765" s="16"/>
    </row>
    <row r="766" ht="14.25" customHeight="1">
      <c r="B766" s="16"/>
    </row>
    <row r="767" ht="14.25" customHeight="1">
      <c r="B767" s="16"/>
    </row>
    <row r="768" ht="14.25" customHeight="1">
      <c r="B768" s="16"/>
    </row>
    <row r="769" ht="14.25" customHeight="1">
      <c r="B769" s="16"/>
    </row>
    <row r="770" ht="14.25" customHeight="1">
      <c r="B770" s="16"/>
    </row>
    <row r="771" ht="14.25" customHeight="1">
      <c r="B771" s="16"/>
    </row>
    <row r="772" ht="14.25" customHeight="1">
      <c r="B772" s="16"/>
    </row>
    <row r="773" ht="14.25" customHeight="1">
      <c r="B773" s="16"/>
    </row>
    <row r="774" ht="14.25" customHeight="1">
      <c r="B774" s="16"/>
    </row>
    <row r="775" ht="14.25" customHeight="1">
      <c r="B775" s="16"/>
    </row>
    <row r="776" ht="14.25" customHeight="1">
      <c r="B776" s="16"/>
    </row>
    <row r="777" ht="14.25" customHeight="1">
      <c r="B777" s="16"/>
    </row>
    <row r="778" ht="14.25" customHeight="1">
      <c r="B778" s="16"/>
    </row>
    <row r="779" ht="14.25" customHeight="1">
      <c r="B779" s="16"/>
    </row>
    <row r="780" ht="14.25" customHeight="1">
      <c r="B780" s="16"/>
    </row>
    <row r="781" ht="14.25" customHeight="1">
      <c r="B781" s="16"/>
    </row>
    <row r="782" ht="14.25" customHeight="1">
      <c r="B782" s="16"/>
    </row>
    <row r="783" ht="14.25" customHeight="1">
      <c r="B783" s="16"/>
    </row>
    <row r="784" ht="14.25" customHeight="1">
      <c r="B784" s="16"/>
    </row>
    <row r="785" ht="14.25" customHeight="1">
      <c r="B785" s="16"/>
    </row>
    <row r="786" ht="14.25" customHeight="1">
      <c r="B786" s="16"/>
    </row>
    <row r="787" ht="14.25" customHeight="1">
      <c r="B787" s="16"/>
    </row>
    <row r="788" ht="14.25" customHeight="1">
      <c r="B788" s="16"/>
    </row>
    <row r="789" ht="14.25" customHeight="1">
      <c r="B789" s="16"/>
    </row>
    <row r="790" ht="14.25" customHeight="1">
      <c r="B790" s="16"/>
    </row>
    <row r="791" ht="14.25" customHeight="1">
      <c r="B791" s="16"/>
    </row>
    <row r="792" ht="14.25" customHeight="1">
      <c r="B792" s="16"/>
    </row>
    <row r="793" ht="14.25" customHeight="1">
      <c r="B793" s="16"/>
    </row>
    <row r="794" ht="14.25" customHeight="1">
      <c r="B794" s="16"/>
    </row>
    <row r="795" ht="14.25" customHeight="1">
      <c r="B795" s="16"/>
    </row>
    <row r="796" ht="14.25" customHeight="1">
      <c r="B796" s="16"/>
    </row>
    <row r="797" ht="14.25" customHeight="1">
      <c r="B797" s="16"/>
    </row>
    <row r="798" ht="14.25" customHeight="1">
      <c r="B798" s="16"/>
    </row>
    <row r="799" ht="14.25" customHeight="1">
      <c r="B799" s="16"/>
    </row>
    <row r="800" ht="14.25" customHeight="1">
      <c r="B800" s="16"/>
    </row>
    <row r="801" ht="14.25" customHeight="1">
      <c r="B801" s="16"/>
    </row>
    <row r="802" ht="14.25" customHeight="1">
      <c r="B802" s="16"/>
    </row>
    <row r="803" ht="14.25" customHeight="1">
      <c r="B803" s="16"/>
    </row>
    <row r="804" ht="14.25" customHeight="1">
      <c r="B804" s="16"/>
    </row>
    <row r="805" ht="14.25" customHeight="1">
      <c r="B805" s="16"/>
    </row>
    <row r="806" ht="14.25" customHeight="1">
      <c r="B806" s="16"/>
    </row>
    <row r="807" ht="14.25" customHeight="1">
      <c r="B807" s="16"/>
    </row>
    <row r="808" ht="14.25" customHeight="1">
      <c r="B808" s="16"/>
    </row>
    <row r="809" ht="14.25" customHeight="1">
      <c r="B809" s="16"/>
    </row>
    <row r="810" ht="14.25" customHeight="1">
      <c r="B810" s="16"/>
    </row>
    <row r="811" ht="14.25" customHeight="1">
      <c r="B811" s="16"/>
    </row>
    <row r="812" ht="14.25" customHeight="1">
      <c r="B812" s="16"/>
    </row>
    <row r="813" ht="14.25" customHeight="1">
      <c r="B813" s="16"/>
    </row>
    <row r="814" ht="14.25" customHeight="1">
      <c r="B814" s="16"/>
    </row>
    <row r="815" ht="14.25" customHeight="1">
      <c r="B815" s="16"/>
    </row>
    <row r="816" ht="14.25" customHeight="1">
      <c r="B816" s="16"/>
    </row>
    <row r="817" ht="14.25" customHeight="1">
      <c r="B817" s="16"/>
    </row>
    <row r="818" ht="14.25" customHeight="1">
      <c r="B818" s="16"/>
    </row>
    <row r="819" ht="14.25" customHeight="1">
      <c r="B819" s="16"/>
    </row>
    <row r="820" ht="14.25" customHeight="1">
      <c r="B820" s="16"/>
    </row>
    <row r="821" ht="14.25" customHeight="1">
      <c r="B821" s="16"/>
    </row>
    <row r="822" ht="14.25" customHeight="1">
      <c r="B822" s="16"/>
    </row>
    <row r="823" ht="14.25" customHeight="1">
      <c r="B823" s="16"/>
    </row>
    <row r="824" ht="14.25" customHeight="1">
      <c r="B824" s="16"/>
    </row>
    <row r="825" ht="14.25" customHeight="1">
      <c r="B825" s="16"/>
    </row>
    <row r="826" ht="14.25" customHeight="1">
      <c r="B826" s="16"/>
    </row>
    <row r="827" ht="14.25" customHeight="1">
      <c r="B827" s="16"/>
    </row>
    <row r="828" ht="14.25" customHeight="1">
      <c r="B828" s="16"/>
    </row>
    <row r="829" ht="14.25" customHeight="1">
      <c r="B829" s="16"/>
    </row>
    <row r="830" ht="14.25" customHeight="1">
      <c r="B830" s="16"/>
    </row>
    <row r="831" ht="14.25" customHeight="1">
      <c r="B831" s="16"/>
    </row>
    <row r="832" ht="14.25" customHeight="1">
      <c r="B832" s="16"/>
    </row>
    <row r="833" ht="14.25" customHeight="1">
      <c r="B833" s="16"/>
    </row>
    <row r="834" ht="14.25" customHeight="1">
      <c r="B834" s="16"/>
    </row>
    <row r="835" ht="14.25" customHeight="1">
      <c r="B835" s="16"/>
    </row>
    <row r="836" ht="14.25" customHeight="1">
      <c r="B836" s="16"/>
    </row>
    <row r="837" ht="14.25" customHeight="1">
      <c r="B837" s="16"/>
    </row>
    <row r="838" ht="14.25" customHeight="1">
      <c r="B838" s="16"/>
    </row>
    <row r="839" ht="14.25" customHeight="1">
      <c r="B839" s="16"/>
    </row>
    <row r="840" ht="14.25" customHeight="1">
      <c r="B840" s="16"/>
    </row>
    <row r="841" ht="14.25" customHeight="1">
      <c r="B841" s="16"/>
    </row>
    <row r="842" ht="14.25" customHeight="1">
      <c r="B842" s="16"/>
    </row>
    <row r="843" ht="14.25" customHeight="1">
      <c r="B843" s="16"/>
    </row>
    <row r="844" ht="14.25" customHeight="1">
      <c r="B844" s="16"/>
    </row>
    <row r="845" ht="14.25" customHeight="1">
      <c r="B845" s="16"/>
    </row>
    <row r="846" ht="14.25" customHeight="1">
      <c r="B846" s="16"/>
    </row>
    <row r="847" ht="14.25" customHeight="1">
      <c r="B847" s="16"/>
    </row>
    <row r="848" ht="14.25" customHeight="1">
      <c r="B848" s="16"/>
    </row>
    <row r="849" ht="14.25" customHeight="1">
      <c r="B849" s="16"/>
    </row>
    <row r="850" ht="14.25" customHeight="1">
      <c r="B850" s="16"/>
    </row>
    <row r="851" ht="14.25" customHeight="1">
      <c r="B851" s="16"/>
    </row>
    <row r="852" ht="14.25" customHeight="1">
      <c r="B852" s="16"/>
    </row>
    <row r="853" ht="14.25" customHeight="1">
      <c r="B853" s="16"/>
    </row>
    <row r="854" ht="14.25" customHeight="1">
      <c r="B854" s="16"/>
    </row>
    <row r="855" ht="14.25" customHeight="1">
      <c r="B855" s="16"/>
    </row>
    <row r="856" ht="14.25" customHeight="1">
      <c r="B856" s="16"/>
    </row>
    <row r="857" ht="14.25" customHeight="1">
      <c r="B857" s="16"/>
    </row>
    <row r="858" ht="14.25" customHeight="1">
      <c r="B858" s="16"/>
    </row>
    <row r="859" ht="14.25" customHeight="1">
      <c r="B859" s="16"/>
    </row>
    <row r="860" ht="14.25" customHeight="1">
      <c r="B860" s="16"/>
    </row>
    <row r="861" ht="14.25" customHeight="1">
      <c r="B861" s="16"/>
    </row>
    <row r="862" ht="14.25" customHeight="1">
      <c r="B862" s="16"/>
    </row>
    <row r="863" ht="14.25" customHeight="1">
      <c r="B863" s="16"/>
    </row>
    <row r="864" ht="14.25" customHeight="1">
      <c r="B864" s="16"/>
    </row>
    <row r="865" ht="14.25" customHeight="1">
      <c r="B865" s="16"/>
    </row>
    <row r="866" ht="14.25" customHeight="1">
      <c r="B866" s="16"/>
    </row>
    <row r="867" ht="14.25" customHeight="1">
      <c r="B867" s="16"/>
    </row>
    <row r="868" ht="14.25" customHeight="1">
      <c r="B868" s="16"/>
    </row>
    <row r="869" ht="14.25" customHeight="1">
      <c r="B869" s="16"/>
    </row>
    <row r="870" ht="14.25" customHeight="1">
      <c r="B870" s="16"/>
    </row>
    <row r="871" ht="14.25" customHeight="1">
      <c r="B871" s="16"/>
    </row>
    <row r="872" ht="14.25" customHeight="1">
      <c r="B872" s="16"/>
    </row>
    <row r="873" ht="14.25" customHeight="1">
      <c r="B873" s="16"/>
    </row>
    <row r="874" ht="14.25" customHeight="1">
      <c r="B874" s="16"/>
    </row>
    <row r="875" ht="14.25" customHeight="1">
      <c r="B875" s="16"/>
    </row>
    <row r="876" ht="14.25" customHeight="1">
      <c r="B876" s="16"/>
    </row>
    <row r="877" ht="14.25" customHeight="1">
      <c r="B877" s="16"/>
    </row>
    <row r="878" ht="14.25" customHeight="1">
      <c r="B878" s="16"/>
    </row>
    <row r="879" ht="14.25" customHeight="1">
      <c r="B879" s="16"/>
    </row>
    <row r="880" ht="14.25" customHeight="1">
      <c r="B880" s="16"/>
    </row>
    <row r="881" ht="14.25" customHeight="1">
      <c r="B881" s="16"/>
    </row>
    <row r="882" ht="14.25" customHeight="1">
      <c r="B882" s="16"/>
    </row>
    <row r="883" ht="14.25" customHeight="1">
      <c r="B883" s="16"/>
    </row>
    <row r="884" ht="14.25" customHeight="1">
      <c r="B884" s="16"/>
    </row>
    <row r="885" ht="14.25" customHeight="1">
      <c r="B885" s="16"/>
    </row>
    <row r="886" ht="14.25" customHeight="1">
      <c r="B886" s="16"/>
    </row>
    <row r="887" ht="14.25" customHeight="1">
      <c r="B887" s="16"/>
    </row>
    <row r="888" ht="14.25" customHeight="1">
      <c r="B888" s="16"/>
    </row>
    <row r="889" ht="14.25" customHeight="1">
      <c r="B889" s="16"/>
    </row>
    <row r="890" ht="14.25" customHeight="1">
      <c r="B890" s="16"/>
    </row>
    <row r="891" ht="14.25" customHeight="1">
      <c r="B891" s="16"/>
    </row>
    <row r="892" ht="14.25" customHeight="1">
      <c r="B892" s="16"/>
    </row>
    <row r="893" ht="14.25" customHeight="1">
      <c r="B893" s="16"/>
    </row>
    <row r="894" ht="14.25" customHeight="1">
      <c r="B894" s="16"/>
    </row>
    <row r="895" ht="14.25" customHeight="1">
      <c r="B895" s="16"/>
    </row>
    <row r="896" ht="14.25" customHeight="1">
      <c r="B896" s="16"/>
    </row>
    <row r="897" ht="14.25" customHeight="1">
      <c r="B897" s="16"/>
    </row>
    <row r="898" ht="14.25" customHeight="1">
      <c r="B898" s="16"/>
    </row>
    <row r="899" ht="14.25" customHeight="1">
      <c r="B899" s="16"/>
    </row>
    <row r="900" ht="14.25" customHeight="1">
      <c r="B900" s="16"/>
    </row>
    <row r="901" ht="14.25" customHeight="1">
      <c r="B901" s="16"/>
    </row>
    <row r="902" ht="14.25" customHeight="1">
      <c r="B902" s="16"/>
    </row>
    <row r="903" ht="14.25" customHeight="1">
      <c r="B903" s="16"/>
    </row>
    <row r="904" ht="14.25" customHeight="1">
      <c r="B904" s="16"/>
    </row>
    <row r="905" ht="14.25" customHeight="1">
      <c r="B905" s="16"/>
    </row>
    <row r="906" ht="14.25" customHeight="1">
      <c r="B906" s="16"/>
    </row>
    <row r="907" ht="14.25" customHeight="1">
      <c r="B907" s="16"/>
    </row>
    <row r="908" ht="14.25" customHeight="1">
      <c r="B908" s="16"/>
    </row>
    <row r="909" ht="14.25" customHeight="1">
      <c r="B909" s="16"/>
    </row>
    <row r="910" ht="14.25" customHeight="1">
      <c r="B910" s="16"/>
    </row>
    <row r="911" ht="14.25" customHeight="1">
      <c r="B911" s="16"/>
    </row>
    <row r="912" ht="14.25" customHeight="1">
      <c r="B912" s="16"/>
    </row>
    <row r="913" ht="14.25" customHeight="1">
      <c r="B913" s="16"/>
    </row>
    <row r="914" ht="14.25" customHeight="1">
      <c r="B914" s="16"/>
    </row>
    <row r="915" ht="14.25" customHeight="1">
      <c r="B915" s="16"/>
    </row>
    <row r="916" ht="14.25" customHeight="1">
      <c r="B916" s="16"/>
    </row>
    <row r="917" ht="14.25" customHeight="1">
      <c r="B917" s="16"/>
    </row>
    <row r="918" ht="14.25" customHeight="1">
      <c r="B918" s="16"/>
    </row>
    <row r="919" ht="14.25" customHeight="1">
      <c r="B919" s="16"/>
    </row>
    <row r="920" ht="14.25" customHeight="1">
      <c r="B920" s="16"/>
    </row>
    <row r="921" ht="14.25" customHeight="1">
      <c r="B921" s="16"/>
    </row>
    <row r="922" ht="14.25" customHeight="1">
      <c r="B922" s="16"/>
    </row>
    <row r="923" ht="14.25" customHeight="1">
      <c r="B923" s="16"/>
    </row>
    <row r="924" ht="14.25" customHeight="1">
      <c r="B924" s="16"/>
    </row>
    <row r="925" ht="14.25" customHeight="1">
      <c r="B925" s="16"/>
    </row>
    <row r="926" ht="14.25" customHeight="1">
      <c r="B926" s="16"/>
    </row>
    <row r="927" ht="14.25" customHeight="1">
      <c r="B927" s="16"/>
    </row>
    <row r="928" ht="14.25" customHeight="1">
      <c r="B928" s="16"/>
    </row>
    <row r="929" ht="14.25" customHeight="1">
      <c r="B929" s="16"/>
    </row>
    <row r="930" ht="14.25" customHeight="1">
      <c r="B930" s="16"/>
    </row>
    <row r="931" ht="14.25" customHeight="1">
      <c r="B931" s="16"/>
    </row>
    <row r="932" ht="14.25" customHeight="1">
      <c r="B932" s="16"/>
    </row>
    <row r="933" ht="14.25" customHeight="1">
      <c r="B933" s="16"/>
    </row>
    <row r="934" ht="14.25" customHeight="1">
      <c r="B934" s="16"/>
    </row>
    <row r="935" ht="14.25" customHeight="1">
      <c r="B935" s="16"/>
    </row>
    <row r="936" ht="14.25" customHeight="1">
      <c r="B936" s="16"/>
    </row>
    <row r="937" ht="14.25" customHeight="1">
      <c r="B937" s="16"/>
    </row>
    <row r="938" ht="14.25" customHeight="1">
      <c r="B938" s="16"/>
    </row>
    <row r="939" ht="14.25" customHeight="1">
      <c r="B939" s="16"/>
    </row>
    <row r="940" ht="14.25" customHeight="1">
      <c r="B940" s="16"/>
    </row>
    <row r="941" ht="14.25" customHeight="1">
      <c r="B941" s="16"/>
    </row>
    <row r="942" ht="14.25" customHeight="1">
      <c r="B942" s="16"/>
    </row>
    <row r="943" ht="14.25" customHeight="1">
      <c r="B943" s="16"/>
    </row>
    <row r="944" ht="14.25" customHeight="1">
      <c r="B944" s="16"/>
    </row>
    <row r="945" ht="14.25" customHeight="1">
      <c r="B945" s="16"/>
    </row>
    <row r="946" ht="14.25" customHeight="1">
      <c r="B946" s="16"/>
    </row>
    <row r="947" ht="14.25" customHeight="1">
      <c r="B947" s="16"/>
    </row>
    <row r="948" ht="14.25" customHeight="1">
      <c r="B948" s="16"/>
    </row>
    <row r="949" ht="14.25" customHeight="1">
      <c r="B949" s="16"/>
    </row>
    <row r="950" ht="14.25" customHeight="1">
      <c r="B950" s="16"/>
    </row>
    <row r="951" ht="14.25" customHeight="1">
      <c r="B951" s="16"/>
    </row>
    <row r="952" ht="14.25" customHeight="1">
      <c r="B952" s="16"/>
    </row>
    <row r="953" ht="14.25" customHeight="1">
      <c r="B953" s="16"/>
    </row>
    <row r="954" ht="14.25" customHeight="1">
      <c r="B954" s="16"/>
    </row>
    <row r="955" ht="14.25" customHeight="1">
      <c r="B955" s="16"/>
    </row>
    <row r="956" ht="14.25" customHeight="1">
      <c r="B956" s="16"/>
    </row>
    <row r="957" ht="14.25" customHeight="1">
      <c r="B957" s="16"/>
    </row>
    <row r="958" ht="14.25" customHeight="1">
      <c r="B958" s="16"/>
    </row>
    <row r="959" ht="14.25" customHeight="1">
      <c r="B959" s="16"/>
    </row>
    <row r="960" ht="14.25" customHeight="1">
      <c r="B960" s="16"/>
    </row>
    <row r="961" ht="14.25" customHeight="1">
      <c r="B961" s="16"/>
    </row>
    <row r="962" ht="14.25" customHeight="1">
      <c r="B962" s="16"/>
    </row>
    <row r="963" ht="14.25" customHeight="1">
      <c r="B963" s="16"/>
    </row>
    <row r="964" ht="14.25" customHeight="1">
      <c r="B964" s="16"/>
    </row>
    <row r="965" ht="14.25" customHeight="1">
      <c r="B965" s="16"/>
    </row>
    <row r="966" ht="14.25" customHeight="1">
      <c r="B966" s="16"/>
    </row>
    <row r="967" ht="14.25" customHeight="1">
      <c r="B967" s="16"/>
    </row>
    <row r="968" ht="14.25" customHeight="1">
      <c r="B968" s="16"/>
    </row>
    <row r="969" ht="14.25" customHeight="1">
      <c r="B969" s="16"/>
    </row>
    <row r="970" ht="14.25" customHeight="1">
      <c r="B970" s="16"/>
    </row>
    <row r="971" ht="14.25" customHeight="1">
      <c r="B971" s="16"/>
    </row>
    <row r="972" ht="14.25" customHeight="1">
      <c r="B972" s="16"/>
    </row>
    <row r="973" ht="14.25" customHeight="1">
      <c r="B973" s="16"/>
    </row>
    <row r="974" ht="14.25" customHeight="1">
      <c r="B974" s="16"/>
    </row>
    <row r="975" ht="14.25" customHeight="1">
      <c r="B975" s="16"/>
    </row>
    <row r="976" ht="14.25" customHeight="1">
      <c r="B976" s="16"/>
    </row>
    <row r="977" ht="14.25" customHeight="1">
      <c r="B977" s="16"/>
    </row>
    <row r="978" ht="14.25" customHeight="1">
      <c r="B978" s="16"/>
    </row>
    <row r="979" ht="14.25" customHeight="1">
      <c r="B979" s="16"/>
    </row>
    <row r="980" ht="14.25" customHeight="1">
      <c r="B980" s="16"/>
    </row>
    <row r="981" ht="14.25" customHeight="1">
      <c r="B981" s="16"/>
    </row>
    <row r="982" ht="14.25" customHeight="1">
      <c r="B982" s="16"/>
    </row>
    <row r="983" ht="14.25" customHeight="1">
      <c r="B983" s="16"/>
    </row>
    <row r="984" ht="14.25" customHeight="1">
      <c r="B984" s="16"/>
    </row>
    <row r="985" ht="14.25" customHeight="1">
      <c r="B985" s="16"/>
    </row>
    <row r="986" ht="14.25" customHeight="1">
      <c r="B986" s="16"/>
    </row>
    <row r="987" ht="14.25" customHeight="1">
      <c r="B987" s="16"/>
    </row>
    <row r="988" ht="14.25" customHeight="1">
      <c r="B988" s="16"/>
    </row>
    <row r="989" ht="14.25" customHeight="1">
      <c r="B989" s="16"/>
    </row>
    <row r="990" ht="14.25" customHeight="1">
      <c r="B990" s="16"/>
    </row>
    <row r="991" ht="14.25" customHeight="1">
      <c r="B991" s="16"/>
    </row>
    <row r="992" ht="14.25" customHeight="1">
      <c r="B992" s="16"/>
    </row>
    <row r="993" ht="14.25" customHeight="1">
      <c r="B993" s="16"/>
    </row>
    <row r="994" ht="14.25" customHeight="1">
      <c r="B994" s="16"/>
    </row>
    <row r="995" ht="14.25" customHeight="1">
      <c r="B995" s="16"/>
    </row>
    <row r="996" ht="14.25" customHeight="1">
      <c r="B996" s="16"/>
    </row>
    <row r="997" ht="14.25" customHeight="1">
      <c r="B997" s="16"/>
    </row>
    <row r="998" ht="14.25" customHeight="1">
      <c r="B998" s="16"/>
    </row>
    <row r="999" ht="14.25" customHeight="1">
      <c r="B999" s="16"/>
    </row>
    <row r="1000" ht="14.25" customHeight="1">
      <c r="B1000" s="16"/>
    </row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67.25"/>
    <col customWidth="1" min="3" max="6" width="11.5"/>
    <col customWidth="1" min="7" max="26" width="8.0"/>
  </cols>
  <sheetData>
    <row r="1" ht="14.25" customHeight="1">
      <c r="A1" s="1" t="s">
        <v>382</v>
      </c>
      <c r="B1" s="19" t="s">
        <v>383</v>
      </c>
    </row>
    <row r="2" ht="14.25" customHeight="1">
      <c r="A2" s="3" t="s">
        <v>387</v>
      </c>
      <c r="B2" s="20" t="str">
        <f>IF(ISBLANK(metadatagroups!$B2),"",""""&amp;$A$2&amp;metadatagroups!$A2&amp;"."&amp;"NESTED"&amp;"["&amp;metadatagroups!$D2&amp;"]"&amp;""": """&amp;SUBSTITUTE(metadatagroups!$G2,"""","\""")&amp;""",")</f>
        <v>"layout.field.label.Person.NESTED[crisrp.qualification]": "Title",</v>
      </c>
    </row>
    <row r="3" ht="14.25" customHeight="1">
      <c r="B3" s="20" t="str">
        <f>IF(ISBLANK(metadatagroups!$B3),"",""""&amp;$A$2&amp;metadatagroups!$A3&amp;"."&amp;"NESTED"&amp;"["&amp;metadatagroups!$D3&amp;"]"&amp;""": """&amp;SUBSTITUTE(metadatagroups!$G3,"""","\""")&amp;""",")</f>
        <v>"layout.field.label.Person.NESTED[crisrp.qualification.start]": "Start",</v>
      </c>
    </row>
    <row r="4" ht="14.25" customHeight="1">
      <c r="B4" s="20" t="str">
        <f>IF(ISBLANK(metadatagroups!$B4),"",""""&amp;$A$2&amp;metadatagroups!$A4&amp;"."&amp;"NESTED"&amp;"["&amp;metadatagroups!$D4&amp;"]"&amp;""": """&amp;SUBSTITUTE(metadatagroups!$G4,"""","\""")&amp;""",")</f>
        <v>"layout.field.label.Person.NESTED[crisrp.qualification.end]": "End",</v>
      </c>
    </row>
    <row r="5" ht="14.25" customHeight="1">
      <c r="B5" s="20" t="str">
        <f>IF(ISBLANK(metadatagroups!$B5),"",""""&amp;$A$2&amp;metadatagroups!$A5&amp;"."&amp;"NESTED"&amp;"["&amp;metadatagroups!$D5&amp;"]"&amp;""": """&amp;SUBSTITUTE(metadatagroups!$G5,"""","\""")&amp;""",")</f>
        <v>"layout.field.label.Person.NESTED[oairecerif.affiliation.role]": "Role",</v>
      </c>
    </row>
    <row r="6" ht="14.25" customHeight="1">
      <c r="B6" s="20" t="str">
        <f>IF(ISBLANK(metadatagroups!$B6),"",""""&amp;$A$2&amp;metadatagroups!$A6&amp;"."&amp;"NESTED"&amp;"["&amp;metadatagroups!$D6&amp;"]"&amp;""": """&amp;SUBSTITUTE(metadatagroups!$G6,"""","\""")&amp;""",")</f>
        <v>"layout.field.label.Person.NESTED[oairecerif.person.affiliation]": "Organisation",</v>
      </c>
    </row>
    <row r="7" ht="14.25" customHeight="1">
      <c r="B7" s="20" t="str">
        <f>IF(ISBLANK(metadatagroups!$B7),"",""""&amp;$A$2&amp;metadatagroups!$A7&amp;"."&amp;"NESTED"&amp;"["&amp;metadatagroups!$D7&amp;"]"&amp;""": """&amp;SUBSTITUTE(metadatagroups!$G7,"""","\""")&amp;""",")</f>
        <v>"layout.field.label.Person.NESTED[oairecerif.affiliation.startDate]": "Start",</v>
      </c>
    </row>
    <row r="8" ht="14.25" customHeight="1">
      <c r="B8" s="20" t="str">
        <f>IF(ISBLANK(metadatagroups!$B8),"",""""&amp;$A$2&amp;metadatagroups!$A8&amp;"."&amp;"NESTED"&amp;"["&amp;metadatagroups!$D8&amp;"]"&amp;""": """&amp;SUBSTITUTE(metadatagroups!$G8,"""","\""")&amp;""",")</f>
        <v>"layout.field.label.Person.NESTED[oairecerif.affiliation.endDate]": "End",</v>
      </c>
    </row>
    <row r="9" ht="14.25" customHeight="1">
      <c r="B9" s="20" t="str">
        <f>IF(ISBLANK(metadatagroups!$B9),"",""""&amp;$A$2&amp;metadatagroups!$A9&amp;"."&amp;"NESTED"&amp;"["&amp;metadatagroups!$D9&amp;"]"&amp;""": """&amp;SUBSTITUTE(metadatagroups!$G9,"""","\""")&amp;""",")</f>
        <v>"layout.field.label.Person.NESTED[crisrp.education.role]": "Role",</v>
      </c>
    </row>
    <row r="10" ht="14.25" customHeight="1">
      <c r="B10" s="20" t="str">
        <f>IF(ISBLANK(metadatagroups!$B10),"",""""&amp;$A$2&amp;metadatagroups!$A10&amp;"."&amp;"NESTED"&amp;"["&amp;metadatagroups!$D10&amp;"]"&amp;""": """&amp;SUBSTITUTE(metadatagroups!$G10,"""","\""")&amp;""",")</f>
        <v>"layout.field.label.Person.NESTED[crisrp.education]": "Organisation",</v>
      </c>
    </row>
    <row r="11" ht="14.25" customHeight="1">
      <c r="B11" s="20" t="str">
        <f>IF(ISBLANK(metadatagroups!$B11),"",""""&amp;$A$2&amp;metadatagroups!$A11&amp;"."&amp;"NESTED"&amp;"["&amp;metadatagroups!$D11&amp;"]"&amp;""": """&amp;SUBSTITUTE(metadatagroups!$G11,"""","\""")&amp;""",")</f>
        <v>"layout.field.label.Person.NESTED[crisrp.education.start]": "Start",</v>
      </c>
    </row>
    <row r="12" ht="14.25" customHeight="1">
      <c r="B12" s="20" t="str">
        <f>IF(ISBLANK(metadatagroups!$B12),"",""""&amp;$A$2&amp;metadatagroups!$A12&amp;"."&amp;"NESTED"&amp;"["&amp;metadatagroups!$D12&amp;"]"&amp;""": """&amp;SUBSTITUTE(metadatagroups!$G12,"""","\""")&amp;""",")</f>
        <v>"layout.field.label.Person.NESTED[crisrp.education.end]": "End",</v>
      </c>
    </row>
    <row r="13" ht="14.25" customHeight="1">
      <c r="B13" s="20" t="str">
        <f>IF(ISBLANK(metadatagroups!$B13),"",""""&amp;$A$2&amp;metadatagroups!$A13&amp;"."&amp;"NESTED"&amp;"["&amp;metadatagroups!$D13&amp;"]"&amp;""": """&amp;SUBSTITUTE(metadatagroups!$G13,"""","\""")&amp;""",")</f>
        <v>"layout.field.label.Publication.NESTED[dc.contributor.author]": "Author",</v>
      </c>
    </row>
    <row r="14" ht="14.25" customHeight="1">
      <c r="B14" s="20" t="str">
        <f>IF(ISBLANK(metadatagroups!$B14),"",""""&amp;$A$2&amp;metadatagroups!$A14&amp;"."&amp;"NESTED"&amp;"["&amp;metadatagroups!$D14&amp;"]"&amp;""": """&amp;SUBSTITUTE(metadatagroups!$G14,"""","\""")&amp;""",")</f>
        <v>"layout.field.label.Publication.NESTED[oairecerif.author.affiliation]": "Affiliation",</v>
      </c>
    </row>
    <row r="15" ht="14.25" customHeight="1">
      <c r="B15" s="20" t="str">
        <f>IF(ISBLANK(metadatagroups!$B18),"",""""&amp;$A$2&amp;metadatagroups!$A18&amp;"."&amp;"NESTED"&amp;"["&amp;metadatagroups!$D18&amp;"]"&amp;""": """&amp;SUBSTITUTE(metadatagroups!$G18,"""","\""")&amp;""",")</f>
        <v>"layout.field.label.Publication.NESTED[dc.contributor.editor]": "Editor",</v>
      </c>
    </row>
    <row r="16" ht="14.25" customHeight="1">
      <c r="B16" s="20" t="str">
        <f>IF(ISBLANK(metadatagroups!$B19),"",""""&amp;$A$2&amp;metadatagroups!$A19&amp;"."&amp;"NESTED"&amp;"["&amp;metadatagroups!$D19&amp;"]"&amp;""": """&amp;SUBSTITUTE(metadatagroups!$G19,"""","\""")&amp;""",")</f>
        <v>"layout.field.label.Publication.NESTED[oairecerif.editor.affiliation]": "Affiliation",</v>
      </c>
    </row>
    <row r="17" ht="14.25" customHeight="1">
      <c r="B17" s="20" t="str">
        <f>IF(ISBLANK(metadatagroups!$B22),"",""""&amp;$A$2&amp;metadatagroups!$A22&amp;"."&amp;"NESTED"&amp;"["&amp;metadatagroups!$D22&amp;"]"&amp;""": """&amp;SUBSTITUTE(metadatagroups!$G22,"""","\""")&amp;""",")</f>
        <v>"layout.field.label.Product.NESTED[dc.contributor.author]": "Creator",</v>
      </c>
    </row>
    <row r="18" ht="14.25" customHeight="1">
      <c r="B18" s="20" t="str">
        <f>IF(ISBLANK(metadatagroups!$B23),"",""""&amp;$A$2&amp;metadatagroups!$A23&amp;"."&amp;"NESTED"&amp;"["&amp;metadatagroups!$D23&amp;"]"&amp;""": """&amp;SUBSTITUTE(metadatagroups!$G23,"""","\""")&amp;""",")</f>
        <v>"layout.field.label.Product.NESTED[oairecerif.author.affiliation]": "Affiliation",</v>
      </c>
    </row>
    <row r="19" ht="14.25" customHeight="1">
      <c r="B19" s="20" t="str">
        <f>IF(ISBLANK(metadatagroups!$B24),"",""""&amp;$A$2&amp;metadatagroups!$A24&amp;"."&amp;"NESTED"&amp;"["&amp;metadatagroups!$D24&amp;"]"&amp;""": """&amp;SUBSTITUTE(metadatagroups!$G24,"""","\""")&amp;""",")</f>
        <v>"layout.field.label.Patent.NESTED[dc.contributor.author]": "Inventor",</v>
      </c>
    </row>
    <row r="20" ht="14.25" customHeight="1">
      <c r="B20" s="20" t="str">
        <f>IF(ISBLANK(metadatagroups!$B25),"",""""&amp;$A$2&amp;metadatagroups!$A25&amp;"."&amp;"NESTED"&amp;"["&amp;metadatagroups!$D25&amp;"]"&amp;""": """&amp;SUBSTITUTE(metadatagroups!$G25,"""","\""")&amp;""",")</f>
        <v>"layout.field.label.Patent.NESTED[oairecerif.author.affiliation]": "Affiliation",</v>
      </c>
    </row>
    <row r="21" ht="14.25" customHeight="1">
      <c r="B21" s="20" t="str">
        <f>IF(ISBLANK(metadatagroups!$B26),"",""""&amp;$A$2&amp;metadatagroups!$A26&amp;"."&amp;"NESTED"&amp;"["&amp;metadatagroups!$D26&amp;"]"&amp;""": """&amp;SUBSTITUTE(metadatagroups!$G26,"""","\""")&amp;""",")</f>
        <v>"layout.field.label.Project.NESTED[crisfund.investigators]": "Name",</v>
      </c>
    </row>
    <row r="22" ht="14.25" customHeight="1">
      <c r="B22" s="20" t="str">
        <f>IF(ISBLANK(metadatagroups!$B27),"",""""&amp;$A$2&amp;metadatagroups!$A27&amp;"."&amp;"NESTED"&amp;"["&amp;metadatagroups!$D27&amp;"]"&amp;""": """&amp;SUBSTITUTE(metadatagroups!$G27,"""","\""")&amp;""",")</f>
        <v>"layout.field.label.Project.NESTED[antarc.affiliation.orcid]": "Orcid",</v>
      </c>
    </row>
    <row r="23" ht="14.25" customHeight="1">
      <c r="B23" s="20" t="str">
        <f>IF(ISBLANK(metadatagroups!$B28),"",""""&amp;$A$2&amp;metadatagroups!$A28&amp;"."&amp;"NESTED"&amp;"["&amp;metadatagroups!$D28&amp;"]"&amp;""": """&amp;SUBSTITUTE(metadatagroups!$G28,"""","\""")&amp;""",")</f>
        <v>"layout.field.label.Project.NESTED[crisfund.leadorganizations]": "Organization",</v>
      </c>
    </row>
    <row r="24" ht="14.25" customHeight="1">
      <c r="B24" s="20" t="str">
        <f>IF(ISBLANK(metadatagroups!$B29),"",""""&amp;$A$2&amp;metadatagroups!$A29&amp;"."&amp;"NESTED"&amp;"["&amp;metadatagroups!$D29&amp;"]"&amp;""": """&amp;SUBSTITUTE(metadatagroups!$G29,"""","\""")&amp;""",")</f>
        <v>"layout.field.label.Project.NESTED[antarc.affiliation.ror]": "ROR",</v>
      </c>
    </row>
    <row r="25" ht="14.25" customHeight="1">
      <c r="B25" s="20" t="str">
        <f>IF(ISBLANK(metadatagroups!$B30),"",""""&amp;$A$2&amp;metadatagroups!$A30&amp;"."&amp;"NESTED"&amp;"["&amp;metadatagroups!$D30&amp;"]"&amp;""": """&amp;SUBSTITUTE(metadatagroups!$G30,"""","\""")&amp;""",")</f>
        <v>"layout.field.label.Thesis.NESTED[dc.contributor.author]": "Author",</v>
      </c>
    </row>
    <row r="26" ht="14.25" customHeight="1">
      <c r="B26" s="20" t="str">
        <f>IF(ISBLANK(metadatagroups!$B31),"",""""&amp;$A$2&amp;metadatagroups!$A31&amp;"."&amp;"NESTED"&amp;"["&amp;metadatagroups!$D31&amp;"]"&amp;""": """&amp;SUBSTITUTE(metadatagroups!$G31,"""","\""")&amp;""",")</f>
        <v>"layout.field.label.Thesis.NESTED[oairecerif.author.affiliation]": "Affiliation",</v>
      </c>
    </row>
    <row r="27" ht="14.25" customHeight="1">
      <c r="B27" s="20" t="str">
        <f>IF(ISBLANK(metadatagroups!$B32),"",""""&amp;$A$2&amp;metadatagroups!$A32&amp;"."&amp;"NESTED"&amp;"["&amp;metadatagroups!$D32&amp;"]"&amp;""": """&amp;SUBSTITUTE(metadatagroups!$G32,"""","\""")&amp;""",")</f>
        <v>"layout.field.label.Thesis.NESTED[antarc.affiliation.orcid]": "Orcid",</v>
      </c>
    </row>
    <row r="28" ht="14.25" customHeight="1">
      <c r="B28" s="20" t="str">
        <f>IF(ISBLANK(metadatagroups!$B33),"",""""&amp;$A$2&amp;metadatagroups!$A33&amp;"."&amp;"NESTED"&amp;"["&amp;metadatagroups!$D33&amp;"]"&amp;""": """&amp;SUBSTITUTE(metadatagroups!$G33,"""","\""")&amp;""",")</f>
        <v>"layout.field.label.Thesis.NESTED[antarc.affiliation.ror]": "ROR",</v>
      </c>
    </row>
    <row r="29" ht="14.25" customHeight="1">
      <c r="B29" s="20" t="str">
        <f t="shared" ref="B29:B31" si="1">IF(ISBLANK(#REF!),"",""""&amp;$A$2&amp;#REF!&amp;"."&amp;"NESTED"&amp;"["&amp;#REF!&amp;"]"&amp;""": """&amp;SUBSTITUTE(#REF!,"""","\""")&amp;""",")</f>
        <v>#REF!</v>
      </c>
    </row>
    <row r="30" ht="14.25" customHeight="1">
      <c r="B30" s="20" t="str">
        <f t="shared" si="1"/>
        <v>#REF!</v>
      </c>
    </row>
    <row r="31" ht="14.25" customHeight="1">
      <c r="B31" s="20" t="str">
        <f t="shared" si="1"/>
        <v>#REF!</v>
      </c>
    </row>
    <row r="32" ht="14.25" customHeight="1">
      <c r="B32" s="20" t="str">
        <f>IF(ISBLANK(metadatagroups!$B34),"",""""&amp;$A$2&amp;metadatagroups!$A34&amp;"."&amp;"NESTED"&amp;"["&amp;metadatagroups!$D34&amp;"]"&amp;""": """&amp;SUBSTITUTE(metadatagroups!$G34,"""","\""")&amp;""",")</f>
        <v/>
      </c>
    </row>
    <row r="33" ht="14.25" customHeight="1">
      <c r="B33" s="20" t="str">
        <f>IF(ISBLANK(metadatagroups!$B35),"",""""&amp;$A$2&amp;metadatagroups!$A35&amp;"."&amp;"NESTED"&amp;"["&amp;metadatagroups!$D35&amp;"]"&amp;""": """&amp;SUBSTITUTE(metadatagroups!$G35,"""","\""")&amp;""",")</f>
        <v/>
      </c>
    </row>
    <row r="34" ht="14.25" customHeight="1">
      <c r="B34" s="20" t="str">
        <f>IF(ISBLANK(metadatagroups!$B36),"",""""&amp;$A$2&amp;metadatagroups!$A36&amp;"."&amp;"NESTED"&amp;"["&amp;metadatagroups!$D36&amp;"]"&amp;""": """&amp;SUBSTITUTE(metadatagroups!$G36,"""","\""")&amp;""",")</f>
        <v/>
      </c>
    </row>
    <row r="35" ht="14.25" customHeight="1">
      <c r="B35" s="20" t="str">
        <f>IF(ISBLANK(metadatagroups!$B37),"",""""&amp;$A$2&amp;metadatagroups!$A37&amp;"."&amp;"NESTED"&amp;"["&amp;metadatagroups!$D37&amp;"]"&amp;""": """&amp;SUBSTITUTE(metadatagroups!$G37,"""","\""")&amp;""",")</f>
        <v/>
      </c>
    </row>
    <row r="36" ht="14.25" customHeight="1">
      <c r="B36" s="20" t="str">
        <f>IF(ISBLANK(metadatagroups!$B38),"",""""&amp;$A$2&amp;metadatagroups!$A38&amp;"."&amp;"NESTED"&amp;"["&amp;metadatagroups!$D38&amp;"]"&amp;""": """&amp;SUBSTITUTE(metadatagroups!$G38,"""","\""")&amp;""",")</f>
        <v/>
      </c>
    </row>
    <row r="37" ht="14.25" customHeight="1">
      <c r="B37" s="20" t="str">
        <f>IF(ISBLANK(metadatagroups!$B39),"",""""&amp;$A$2&amp;metadatagroups!$A39&amp;"."&amp;"NESTED"&amp;"["&amp;metadatagroups!$D39&amp;"]"&amp;""": """&amp;SUBSTITUTE(metadatagroups!$G39,"""","\""")&amp;""",")</f>
        <v/>
      </c>
    </row>
    <row r="38" ht="14.25" customHeight="1">
      <c r="B38" s="20" t="str">
        <f>IF(ISBLANK(metadatagroups!$B40),"",""""&amp;$A$2&amp;metadatagroups!$A40&amp;"."&amp;"NESTED"&amp;"["&amp;metadatagroups!$D40&amp;"]"&amp;""": """&amp;SUBSTITUTE(metadatagroups!$G40,"""","\""")&amp;""",")</f>
        <v/>
      </c>
    </row>
    <row r="39" ht="14.25" customHeight="1">
      <c r="B39" s="20" t="str">
        <f>IF(ISBLANK(metadatagroups!$B41),"",""""&amp;$A$2&amp;metadatagroups!$A41&amp;"."&amp;"NESTED"&amp;"["&amp;metadatagroups!$D41&amp;"]"&amp;""": """&amp;SUBSTITUTE(metadatagroups!$G41,"""","\""")&amp;""",")</f>
        <v/>
      </c>
    </row>
    <row r="40" ht="14.25" customHeight="1">
      <c r="B40" s="20" t="str">
        <f>IF(ISBLANK(metadatagroups!$B42),"",""""&amp;$A$2&amp;metadatagroups!$A42&amp;"."&amp;"NESTED"&amp;"["&amp;metadatagroups!$D42&amp;"]"&amp;""": """&amp;SUBSTITUTE(metadatagroups!$G42,"""","\""")&amp;""",")</f>
        <v/>
      </c>
    </row>
    <row r="41" ht="14.25" customHeight="1">
      <c r="B41" s="20" t="str">
        <f>IF(ISBLANK(metadatagroups!$B43),"",""""&amp;$A$2&amp;metadatagroups!$A43&amp;"."&amp;"NESTED"&amp;"["&amp;metadatagroups!$D43&amp;"]"&amp;""": """&amp;SUBSTITUTE(metadatagroups!$G43,"""","\""")&amp;""",")</f>
        <v/>
      </c>
    </row>
    <row r="42" ht="14.25" customHeight="1">
      <c r="B42" s="20" t="str">
        <f>IF(ISBLANK(metadatagroups!$B44),"",""""&amp;$A$2&amp;metadatagroups!$A44&amp;"."&amp;"NESTED"&amp;"["&amp;metadatagroups!$D44&amp;"]"&amp;""": """&amp;SUBSTITUTE(metadatagroups!$G44,"""","\""")&amp;""",")</f>
        <v/>
      </c>
    </row>
    <row r="43" ht="14.25" customHeight="1">
      <c r="B43" s="20" t="str">
        <f>IF(ISBLANK(metadatagroups!$B45),"",""""&amp;$A$2&amp;metadatagroups!$A45&amp;"."&amp;"NESTED"&amp;"["&amp;metadatagroups!$D45&amp;"]"&amp;""": """&amp;SUBSTITUTE(metadatagroups!$G45,"""","\""")&amp;""",")</f>
        <v/>
      </c>
    </row>
    <row r="44" ht="14.25" customHeight="1">
      <c r="B44" s="20" t="str">
        <f>IF(ISBLANK(metadatagroups!$B46),"",""""&amp;$A$2&amp;metadatagroups!$A46&amp;"."&amp;"NESTED"&amp;"["&amp;metadatagroups!$D46&amp;"]"&amp;""": """&amp;SUBSTITUTE(metadatagroups!$G46,"""","\""")&amp;""",")</f>
        <v/>
      </c>
    </row>
    <row r="45" ht="14.25" customHeight="1">
      <c r="B45" s="20" t="str">
        <f>IF(ISBLANK(metadatagroups!$B47),"",""""&amp;$A$2&amp;metadatagroups!$A47&amp;"."&amp;"NESTED"&amp;"["&amp;metadatagroups!$D47&amp;"]"&amp;""": """&amp;SUBSTITUTE(metadatagroups!$G47,"""","\""")&amp;""",")</f>
        <v/>
      </c>
    </row>
    <row r="46" ht="14.25" customHeight="1">
      <c r="B46" s="20" t="str">
        <f>IF(ISBLANK(metadatagroups!$B48),"",""""&amp;$A$2&amp;metadatagroups!$A48&amp;"."&amp;"NESTED"&amp;"["&amp;metadatagroups!$D48&amp;"]"&amp;""": """&amp;SUBSTITUTE(metadatagroups!$G48,"""","\""")&amp;""",")</f>
        <v/>
      </c>
    </row>
    <row r="47" ht="14.25" customHeight="1">
      <c r="B47" s="20" t="str">
        <f>IF(ISBLANK(metadatagroups!$B49),"",""""&amp;$A$2&amp;metadatagroups!$A49&amp;"."&amp;"NESTED"&amp;"["&amp;metadatagroups!$D49&amp;"]"&amp;""": """&amp;SUBSTITUTE(metadatagroups!$G49,"""","\""")&amp;""",")</f>
        <v/>
      </c>
    </row>
    <row r="48" ht="14.25" customHeight="1">
      <c r="B48" s="20" t="str">
        <f>IF(ISBLANK(metadatagroups!$B50),"",""""&amp;$A$2&amp;metadatagroups!$A50&amp;"."&amp;"NESTED"&amp;"["&amp;metadatagroups!$D50&amp;"]"&amp;""": """&amp;SUBSTITUTE(metadatagroups!$G50,"""","\""")&amp;""",")</f>
        <v/>
      </c>
    </row>
    <row r="49" ht="14.25" customHeight="1">
      <c r="B49" s="20" t="str">
        <f>IF(ISBLANK(metadatagroups!$B51),"",""""&amp;$A$2&amp;metadatagroups!$A51&amp;"."&amp;"NESTED"&amp;"["&amp;metadatagroups!$D51&amp;"]"&amp;""": """&amp;SUBSTITUTE(metadatagroups!$G51,"""","\""")&amp;""",")</f>
        <v/>
      </c>
    </row>
    <row r="50" ht="14.25" customHeight="1">
      <c r="B50" s="20" t="str">
        <f>IF(ISBLANK(metadatagroups!$B52),"",""""&amp;$A$2&amp;metadatagroups!$A52&amp;"."&amp;"NESTED"&amp;"["&amp;metadatagroups!$D52&amp;"]"&amp;""": """&amp;SUBSTITUTE(metadatagroups!$G52,"""","\""")&amp;""",")</f>
        <v/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